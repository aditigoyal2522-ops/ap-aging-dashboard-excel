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764E22EB-DEBB-48CA-82F7-A798FF9CFB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Invoice_Register" sheetId="2" r:id="rId2"/>
    <sheet name="Aging_Dashboard" sheetId="3" r:id="rId3"/>
    <sheet name="Vendor_Summary" sheetId="4" r:id="rId4"/>
    <sheet name="Category_Analysis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5" l="1"/>
  <c r="C9" i="5"/>
  <c r="E9" i="5" s="1"/>
  <c r="F9" i="5" s="1"/>
  <c r="B9" i="5"/>
  <c r="D8" i="5"/>
  <c r="C8" i="5"/>
  <c r="E8" i="5" s="1"/>
  <c r="F8" i="5" s="1"/>
  <c r="B8" i="5"/>
  <c r="D7" i="5"/>
  <c r="C7" i="5"/>
  <c r="E7" i="5" s="1"/>
  <c r="F7" i="5" s="1"/>
  <c r="B7" i="5"/>
  <c r="D6" i="5"/>
  <c r="C6" i="5"/>
  <c r="E6" i="5" s="1"/>
  <c r="F6" i="5" s="1"/>
  <c r="B6" i="5"/>
  <c r="D5" i="5"/>
  <c r="D10" i="5" s="1"/>
  <c r="C5" i="5"/>
  <c r="B5" i="5"/>
  <c r="B10" i="5" s="1"/>
  <c r="D34" i="4"/>
  <c r="C34" i="4"/>
  <c r="E34" i="4" s="1"/>
  <c r="D33" i="4"/>
  <c r="C33" i="4"/>
  <c r="E33" i="4" s="1"/>
  <c r="D32" i="4"/>
  <c r="C32" i="4"/>
  <c r="E32" i="4" s="1"/>
  <c r="D31" i="4"/>
  <c r="C31" i="4"/>
  <c r="E31" i="4" s="1"/>
  <c r="D30" i="4"/>
  <c r="C30" i="4"/>
  <c r="E30" i="4" s="1"/>
  <c r="D29" i="4"/>
  <c r="C29" i="4"/>
  <c r="E29" i="4" s="1"/>
  <c r="D28" i="4"/>
  <c r="C28" i="4"/>
  <c r="E28" i="4" s="1"/>
  <c r="D27" i="4"/>
  <c r="C27" i="4"/>
  <c r="E27" i="4" s="1"/>
  <c r="D26" i="4"/>
  <c r="C26" i="4"/>
  <c r="E26" i="4" s="1"/>
  <c r="E25" i="4"/>
  <c r="D25" i="4"/>
  <c r="C25" i="4"/>
  <c r="D24" i="4"/>
  <c r="C24" i="4"/>
  <c r="E24" i="4" s="1"/>
  <c r="D23" i="4"/>
  <c r="C23" i="4"/>
  <c r="E23" i="4" s="1"/>
  <c r="D22" i="4"/>
  <c r="C22" i="4"/>
  <c r="E22" i="4" s="1"/>
  <c r="D21" i="4"/>
  <c r="C21" i="4"/>
  <c r="E21" i="4" s="1"/>
  <c r="D20" i="4"/>
  <c r="C20" i="4"/>
  <c r="E20" i="4" s="1"/>
  <c r="D19" i="4"/>
  <c r="C19" i="4"/>
  <c r="E19" i="4" s="1"/>
  <c r="D18" i="4"/>
  <c r="C18" i="4"/>
  <c r="D17" i="4"/>
  <c r="C17" i="4"/>
  <c r="D16" i="4"/>
  <c r="C16" i="4"/>
  <c r="E16" i="4" s="1"/>
  <c r="D15" i="4"/>
  <c r="C15" i="4"/>
  <c r="E15" i="4" s="1"/>
  <c r="D14" i="4"/>
  <c r="C14" i="4"/>
  <c r="E14" i="4" s="1"/>
  <c r="D13" i="4"/>
  <c r="C13" i="4"/>
  <c r="E13" i="4" s="1"/>
  <c r="D12" i="4"/>
  <c r="C12" i="4"/>
  <c r="E12" i="4" s="1"/>
  <c r="D11" i="4"/>
  <c r="C11" i="4"/>
  <c r="E11" i="4" s="1"/>
  <c r="D10" i="4"/>
  <c r="C10" i="4"/>
  <c r="E10" i="4" s="1"/>
  <c r="D9" i="4"/>
  <c r="C9" i="4"/>
  <c r="E9" i="4" s="1"/>
  <c r="D8" i="4"/>
  <c r="C8" i="4"/>
  <c r="E8" i="4" s="1"/>
  <c r="D7" i="4"/>
  <c r="C7" i="4"/>
  <c r="E7" i="4" s="1"/>
  <c r="D6" i="4"/>
  <c r="C6" i="4"/>
  <c r="E6" i="4" s="1"/>
  <c r="D5" i="4"/>
  <c r="C5" i="4"/>
  <c r="E5" i="4" s="1"/>
  <c r="A8" i="3"/>
  <c r="E5" i="3"/>
  <c r="C5" i="3"/>
  <c r="A5" i="3"/>
  <c r="I34" i="2"/>
  <c r="I33" i="2"/>
  <c r="I32" i="2"/>
  <c r="I31" i="2"/>
  <c r="I30" i="2"/>
  <c r="I29" i="2"/>
  <c r="I28" i="2"/>
  <c r="I27" i="2"/>
  <c r="I26" i="2"/>
  <c r="K25" i="2"/>
  <c r="L25" i="2" s="1"/>
  <c r="I25" i="2"/>
  <c r="J25" i="2" s="1"/>
  <c r="I24" i="2"/>
  <c r="I23" i="2"/>
  <c r="I22" i="2"/>
  <c r="I21" i="2"/>
  <c r="I20" i="2"/>
  <c r="I19" i="2"/>
  <c r="I18" i="2"/>
  <c r="I17" i="2"/>
  <c r="I16" i="2"/>
  <c r="L15" i="2"/>
  <c r="K15" i="2"/>
  <c r="J15" i="2"/>
  <c r="I15" i="2"/>
  <c r="I14" i="2"/>
  <c r="I13" i="2"/>
  <c r="I12" i="2"/>
  <c r="I11" i="2"/>
  <c r="I10" i="2"/>
  <c r="I9" i="2"/>
  <c r="I8" i="2"/>
  <c r="I7" i="2"/>
  <c r="I6" i="2"/>
  <c r="I5" i="2"/>
  <c r="E5" i="5" l="1"/>
  <c r="C10" i="5"/>
  <c r="F34" i="4"/>
  <c r="G34" i="4"/>
  <c r="F33" i="4"/>
  <c r="G33" i="4"/>
  <c r="F32" i="4"/>
  <c r="G32" i="4"/>
  <c r="F31" i="4"/>
  <c r="G31" i="4"/>
  <c r="F30" i="4"/>
  <c r="G30" i="4"/>
  <c r="G29" i="4"/>
  <c r="F29" i="4"/>
  <c r="F28" i="4"/>
  <c r="G28" i="4"/>
  <c r="F27" i="4"/>
  <c r="G27" i="4"/>
  <c r="F26" i="4"/>
  <c r="G26" i="4"/>
  <c r="F25" i="4"/>
  <c r="G25" i="4"/>
  <c r="F24" i="4"/>
  <c r="G24" i="4"/>
  <c r="F23" i="4"/>
  <c r="G23" i="4"/>
  <c r="F22" i="4"/>
  <c r="G22" i="4"/>
  <c r="F21" i="4"/>
  <c r="G21" i="4"/>
  <c r="F20" i="4"/>
  <c r="G20" i="4"/>
  <c r="F19" i="4"/>
  <c r="G19" i="4"/>
  <c r="C35" i="4"/>
  <c r="E18" i="4"/>
  <c r="D35" i="4"/>
  <c r="E17" i="4"/>
  <c r="F16" i="4"/>
  <c r="G16" i="4"/>
  <c r="F15" i="4"/>
  <c r="G15" i="4"/>
  <c r="F14" i="4"/>
  <c r="G14" i="4"/>
  <c r="F13" i="4"/>
  <c r="G13" i="4"/>
  <c r="F12" i="4"/>
  <c r="G12" i="4"/>
  <c r="F11" i="4"/>
  <c r="G11" i="4"/>
  <c r="F10" i="4"/>
  <c r="G10" i="4"/>
  <c r="F9" i="4"/>
  <c r="G9" i="4"/>
  <c r="F8" i="4"/>
  <c r="G8" i="4"/>
  <c r="F7" i="4"/>
  <c r="G7" i="4"/>
  <c r="F6" i="4"/>
  <c r="G6" i="4"/>
  <c r="F5" i="4"/>
  <c r="G5" i="4"/>
  <c r="E35" i="4"/>
  <c r="K34" i="2"/>
  <c r="J34" i="2"/>
  <c r="L34" i="2"/>
  <c r="L33" i="2"/>
  <c r="K33" i="2"/>
  <c r="J33" i="2"/>
  <c r="K32" i="2"/>
  <c r="L32" i="2" s="1"/>
  <c r="J32" i="2"/>
  <c r="K31" i="2"/>
  <c r="L31" i="2" s="1"/>
  <c r="J31" i="2"/>
  <c r="L30" i="2"/>
  <c r="K30" i="2"/>
  <c r="J30" i="2"/>
  <c r="K29" i="2"/>
  <c r="L29" i="2" s="1"/>
  <c r="J29" i="2"/>
  <c r="J28" i="2"/>
  <c r="K28" i="2"/>
  <c r="L28" i="2" s="1"/>
  <c r="K27" i="2"/>
  <c r="L27" i="2" s="1"/>
  <c r="J27" i="2"/>
  <c r="L26" i="2"/>
  <c r="K26" i="2"/>
  <c r="J26" i="2"/>
  <c r="K24" i="2"/>
  <c r="L24" i="2" s="1"/>
  <c r="J24" i="2"/>
  <c r="K23" i="2"/>
  <c r="L23" i="2" s="1"/>
  <c r="J23" i="2"/>
  <c r="L22" i="2"/>
  <c r="K22" i="2"/>
  <c r="J22" i="2"/>
  <c r="K21" i="2"/>
  <c r="L21" i="2" s="1"/>
  <c r="J21" i="2"/>
  <c r="L20" i="2"/>
  <c r="K20" i="2"/>
  <c r="J20" i="2"/>
  <c r="K19" i="2"/>
  <c r="L19" i="2" s="1"/>
  <c r="J19" i="2"/>
  <c r="L18" i="2"/>
  <c r="K18" i="2"/>
  <c r="J18" i="2"/>
  <c r="K17" i="2"/>
  <c r="L17" i="2" s="1"/>
  <c r="J17" i="2"/>
  <c r="K16" i="2"/>
  <c r="L16" i="2" s="1"/>
  <c r="J16" i="2"/>
  <c r="L14" i="2"/>
  <c r="K14" i="2"/>
  <c r="J14" i="2"/>
  <c r="L13" i="2"/>
  <c r="J13" i="2"/>
  <c r="K13" i="2"/>
  <c r="J12" i="2"/>
  <c r="L12" i="2"/>
  <c r="K12" i="2"/>
  <c r="L11" i="2"/>
  <c r="K11" i="2"/>
  <c r="J11" i="2"/>
  <c r="J10" i="2"/>
  <c r="K10" i="2"/>
  <c r="L10" i="2" s="1"/>
  <c r="K9" i="2"/>
  <c r="L9" i="2" s="1"/>
  <c r="J9" i="2"/>
  <c r="L8" i="2"/>
  <c r="J8" i="2"/>
  <c r="K8" i="2"/>
  <c r="L7" i="2"/>
  <c r="J7" i="2"/>
  <c r="K7" i="2"/>
  <c r="L6" i="2"/>
  <c r="K6" i="2"/>
  <c r="J6" i="2"/>
  <c r="L5" i="2"/>
  <c r="J5" i="2"/>
  <c r="K5" i="2"/>
  <c r="F5" i="5" l="1"/>
  <c r="E10" i="5"/>
  <c r="F10" i="5" s="1"/>
  <c r="F18" i="4"/>
  <c r="G18" i="4"/>
  <c r="F17" i="4"/>
  <c r="G17" i="4"/>
  <c r="B15" i="3"/>
  <c r="B14" i="3"/>
  <c r="C17" i="3"/>
  <c r="D17" i="3" s="1"/>
  <c r="B17" i="3"/>
  <c r="C16" i="3"/>
  <c r="D16" i="3" s="1"/>
  <c r="B16" i="3"/>
  <c r="C15" i="3"/>
  <c r="D15" i="3" s="1"/>
  <c r="B13" i="3"/>
  <c r="C13" i="3"/>
  <c r="C14" i="3"/>
  <c r="D14" i="3" s="1"/>
  <c r="E8" i="3"/>
  <c r="C8" i="3"/>
  <c r="D13" i="3" l="1"/>
  <c r="D18" i="3" s="1"/>
  <c r="C18" i="3"/>
  <c r="B18" i="3"/>
</calcChain>
</file>

<file path=xl/sharedStrings.xml><?xml version="1.0" encoding="utf-8"?>
<sst xmlns="http://schemas.openxmlformats.org/spreadsheetml/2006/main" count="255" uniqueCount="155">
  <si>
    <t>VENDOR PAYMENT AGING DASHBOARD</t>
  </si>
  <si>
    <t>Project Documentation | Built by Aditi Goyal</t>
  </si>
  <si>
    <t>PROJECT OVERVIEW</t>
  </si>
  <si>
    <t>This Excel-based AP aging dashboard simulates a real-world vendor payment tracker for a</t>
  </si>
  <si>
    <t>logistics company. Built entirely on dynamic Excel formulas (no hardcoded summaries),</t>
  </si>
  <si>
    <t>the model auto-updates summary metrics when invoice register data changes.</t>
  </si>
  <si>
    <t>WORKBOOK STRUCTURE</t>
  </si>
  <si>
    <t>Sheet 1: README - Project documentation (this sheet)</t>
  </si>
  <si>
    <t>Sheet 2: Invoice_Register - Master AP data with 30 invoices, formula-driven aging</t>
  </si>
  <si>
    <t>Sheet 3: Aging_Dashboard - Bucket-wise summary using SUMIFS / COUNTIFS</t>
  </si>
  <si>
    <t>Sheet 4: Vendor_Summary - Vendor-wise consolidation using SUMIF</t>
  </si>
  <si>
    <t>Sheet 5: Category_Analysis - Spend analysis across vendor categories</t>
  </si>
  <si>
    <t>KEY EXCEL FUNCTIONS USED</t>
  </si>
  <si>
    <t>- SUMIFS / COUNTIFS - for aging bucket analysis</t>
  </si>
  <si>
    <t>- SUMIF - for vendor-wise and category-wise totals</t>
  </si>
  <si>
    <t>- IF / IFS - for status logic (Paid / Overdue / Current)</t>
  </si>
  <si>
    <t>- TODAY() - for live ageing calculation</t>
  </si>
  <si>
    <t>- VLOOKUP - for category lookups</t>
  </si>
  <si>
    <t>- Conditional Formatting - for visual priority indicators</t>
  </si>
  <si>
    <t>AGING BUCKETS DEFINED</t>
  </si>
  <si>
    <t>Paid              - Outstanding amount = 0</t>
  </si>
  <si>
    <t>Current (0-30)    - Days past due between 0 and 30</t>
  </si>
  <si>
    <t>Overdue (31-60)   - Days past due between 31 and 60</t>
  </si>
  <si>
    <t>Critical (61-90)  - Days past due between 61 and 90</t>
  </si>
  <si>
    <t>Severe (90+)      - Days past due above 90 days</t>
  </si>
  <si>
    <t>COLOR CODING CONVENTION</t>
  </si>
  <si>
    <t>Blue text   - Hardcoded inputs (change these for scenarios)</t>
  </si>
  <si>
    <t>Black text  - Excel formulas / calculations</t>
  </si>
  <si>
    <t>Green text  - Cross-sheet links</t>
  </si>
  <si>
    <t>HOW TO USE</t>
  </si>
  <si>
    <t>1. Update raw invoice data in 'Invoice_Register' sheet (blue cells only)</t>
  </si>
  <si>
    <t>2. All summary sheets auto-recalculate via formulas</t>
  </si>
  <si>
    <t>3. Aging buckets refresh automatically based on TODAY() function</t>
  </si>
  <si>
    <t>DATA NOTE</t>
  </si>
  <si>
    <t>All vendor names, invoice numbers, and amounts are illustrative/simulated data</t>
  </si>
  <si>
    <t>created for portfolio demonstration. No real client or company data used.</t>
  </si>
  <si>
    <t>VENDOR PAYMENT AGING DASHBOARD — Invoice Register</t>
  </si>
  <si>
    <t>Source data | Today's reference date used for ageing | Formulas auto-calculate Outstanding, Days Overdue &amp; Bucket</t>
  </si>
  <si>
    <t>#</t>
  </si>
  <si>
    <t>Vendor Name</t>
  </si>
  <si>
    <t>Vendor Category</t>
  </si>
  <si>
    <t>Invoice No.</t>
  </si>
  <si>
    <t>Invoice Date</t>
  </si>
  <si>
    <t>Due Date</t>
  </si>
  <si>
    <t>Invoice Amt (₹)</t>
  </si>
  <si>
    <t>Amount Paid (₹)</t>
  </si>
  <si>
    <t>Outstanding (₹)</t>
  </si>
  <si>
    <t>Status</t>
  </si>
  <si>
    <t>Days Overdue</t>
  </si>
  <si>
    <t>Aging Bucket</t>
  </si>
  <si>
    <t>Blue Dart Express Ltd</t>
  </si>
  <si>
    <t>Courier &amp; Express</t>
  </si>
  <si>
    <t>BD-2026-0341</t>
  </si>
  <si>
    <t>DTDC Courier Services</t>
  </si>
  <si>
    <t>DT-2026-0892</t>
  </si>
  <si>
    <t>Mahindra Logistics Ltd</t>
  </si>
  <si>
    <t>3PL Partner</t>
  </si>
  <si>
    <t>ML-2026-1204</t>
  </si>
  <si>
    <t>TCI Express Limited</t>
  </si>
  <si>
    <t>Surface Transport</t>
  </si>
  <si>
    <t>TC-2026-0567</t>
  </si>
  <si>
    <t>Allcargo Logistics Ltd</t>
  </si>
  <si>
    <t>Freight Forwarding</t>
  </si>
  <si>
    <t>AL-2026-0223</t>
  </si>
  <si>
    <t>Delhivery Limited</t>
  </si>
  <si>
    <t>Last Mile Delivery</t>
  </si>
  <si>
    <t>DL-2026-1567</t>
  </si>
  <si>
    <t>Gati Limited</t>
  </si>
  <si>
    <t>GT-2026-0445</t>
  </si>
  <si>
    <t>DB Schenker India Pvt Ltd</t>
  </si>
  <si>
    <t>DB-2026-0789</t>
  </si>
  <si>
    <t>Spoton Logistics Pvt Ltd</t>
  </si>
  <si>
    <t>SP-2026-0334</t>
  </si>
  <si>
    <t>FedEx Express</t>
  </si>
  <si>
    <t>FE-2026-1102</t>
  </si>
  <si>
    <t>XpressBees Logistics</t>
  </si>
  <si>
    <t>XP-2026-0667</t>
  </si>
  <si>
    <t>Ecom Express Pvt Ltd</t>
  </si>
  <si>
    <t>EC-2026-0445</t>
  </si>
  <si>
    <t>Safexpress Pvt Ltd</t>
  </si>
  <si>
    <t>SF-2026-0556</t>
  </si>
  <si>
    <t>DHL Express India</t>
  </si>
  <si>
    <t>DH-2026-0223</t>
  </si>
  <si>
    <t>VRL Logistics Ltd</t>
  </si>
  <si>
    <t>VR-2026-0334</t>
  </si>
  <si>
    <t>Aramex India</t>
  </si>
  <si>
    <t>AR-2026-0445</t>
  </si>
  <si>
    <t>Shadowfax Technologies</t>
  </si>
  <si>
    <t>SH-2026-0556</t>
  </si>
  <si>
    <t>Rivigo Services Pvt Ltd</t>
  </si>
  <si>
    <t>RV-2026-0667</t>
  </si>
  <si>
    <t>BlackBuck Logistics</t>
  </si>
  <si>
    <t>BB-2026-0778</t>
  </si>
  <si>
    <t>Future Supply Chain</t>
  </si>
  <si>
    <t>FS-2026-0889</t>
  </si>
  <si>
    <t>Snowman Logistics</t>
  </si>
  <si>
    <t>SN-2026-0990</t>
  </si>
  <si>
    <t>Container Corp India</t>
  </si>
  <si>
    <t>CC-2026-1101</t>
  </si>
  <si>
    <t>Concor</t>
  </si>
  <si>
    <t>CO-2026-1212</t>
  </si>
  <si>
    <t>Patel Integrated Logistics</t>
  </si>
  <si>
    <t>PT-2026-1323</t>
  </si>
  <si>
    <t>Apollo Supply Chain</t>
  </si>
  <si>
    <t>AP-2026-1434</t>
  </si>
  <si>
    <t>DRS Logistics</t>
  </si>
  <si>
    <t>DR-2026-1545</t>
  </si>
  <si>
    <t>Bombay Tiffin Suppliers</t>
  </si>
  <si>
    <t>BT-2026-1656</t>
  </si>
  <si>
    <t>ProConnect Supply Chain</t>
  </si>
  <si>
    <t>PC-2026-1767</t>
  </si>
  <si>
    <t>J.M. Baxi Group</t>
  </si>
  <si>
    <t>JM-2026-1878</t>
  </si>
  <si>
    <t>Sical Logistics</t>
  </si>
  <si>
    <t>SI-2026-1989</t>
  </si>
  <si>
    <t>VENDOR PAYMENT AGING — Summary Dashboard</t>
  </si>
  <si>
    <t>All metrics auto-calculated via SUMIFS / COUNTIFS from Invoice_Register</t>
  </si>
  <si>
    <t>Total Invoices</t>
  </si>
  <si>
    <t>Total Invoice Value</t>
  </si>
  <si>
    <t>Total Amount Paid</t>
  </si>
  <si>
    <t>Total Outstanding</t>
  </si>
  <si>
    <t>Overdue Invoices</t>
  </si>
  <si>
    <t>Paid Invoices</t>
  </si>
  <si>
    <t>AGING BUCKET ANALYSIS</t>
  </si>
  <si>
    <t>Invoice Count</t>
  </si>
  <si>
    <t>% of Outstanding</t>
  </si>
  <si>
    <t>Priority</t>
  </si>
  <si>
    <t>Recommended Action</t>
  </si>
  <si>
    <t>Paid</t>
  </si>
  <si>
    <t>LOW</t>
  </si>
  <si>
    <t>No action needed</t>
  </si>
  <si>
    <t>Current (0-30)</t>
  </si>
  <si>
    <t>MONITOR</t>
  </si>
  <si>
    <t>Track due dates closely</t>
  </si>
  <si>
    <t>Overdue (31-60)</t>
  </si>
  <si>
    <t>FOLLOW UP</t>
  </si>
  <si>
    <t>Initiate payment reminder</t>
  </si>
  <si>
    <t>Critical (61-90)</t>
  </si>
  <si>
    <t>ESCALATE</t>
  </si>
  <si>
    <t>Escalate to AP manager</t>
  </si>
  <si>
    <t>Severe (90+)</t>
  </si>
  <si>
    <t>URGENT</t>
  </si>
  <si>
    <t>Immediate escalation; review credit terms</t>
  </si>
  <si>
    <t>TOTAL</t>
  </si>
  <si>
    <t>VENDOR-WISE PAYMENT SUMMARY</t>
  </si>
  <si>
    <t>Consolidated view per vendor | All amounts pulled via SUMIF from Invoice_Register</t>
  </si>
  <si>
    <t>Category</t>
  </si>
  <si>
    <t>Total Invoiced (₹)</t>
  </si>
  <si>
    <t>Total Paid (₹)</t>
  </si>
  <si>
    <t>Payment Status</t>
  </si>
  <si>
    <t>Health</t>
  </si>
  <si>
    <t>VENDOR CATEGORY ANALYSIS — AP Spend &amp; Outstanding</t>
  </si>
  <si>
    <t>Category-wise rollup using SUMIF / COUNTIF from Invoice_Register</t>
  </si>
  <si>
    <t>No. of Invoices</t>
  </si>
  <si>
    <t>%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</si>
</sst>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4"/>
      <color rgb="FFFFFFFF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b/>
      <sz val="10"/>
      <color rgb="FF1F3864"/>
      <name val="Calibri"/>
      <charset val="1"/>
    </font>
    <font>
      <b/>
      <sz val="14"/>
      <color rgb="FF008000"/>
      <name val="Calibri"/>
      <charset val="1"/>
    </font>
    <font>
      <b/>
      <sz val="12"/>
      <color rgb="FFFFFFFF"/>
      <name val="Calibri"/>
      <charset val="1"/>
    </font>
    <font>
      <b/>
      <sz val="10"/>
      <name val="Calibri"/>
      <charset val="1"/>
    </font>
    <font>
      <sz val="10"/>
      <color rgb="FF008000"/>
      <name val="Calibri"/>
      <charset val="1"/>
    </font>
    <font>
      <sz val="10"/>
      <name val="Calibri"/>
      <charset val="1"/>
    </font>
    <font>
      <i/>
      <sz val="10"/>
      <name val="Calibri"/>
      <charset val="1"/>
    </font>
    <font>
      <b/>
      <sz val="10"/>
      <color rgb="FF0000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7C8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2" borderId="0" xfId="0" applyFont="1" applyFill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/>
    <xf numFmtId="165" fontId="8" fillId="0" borderId="1" xfId="0" applyNumberFormat="1" applyFont="1" applyBorder="1"/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6" fontId="14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165" fontId="13" fillId="8" borderId="1" xfId="0" applyNumberFormat="1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zoomScaleNormal="100" workbookViewId="0"/>
  </sheetViews>
  <sheetFormatPr defaultColWidth="8.6640625" defaultRowHeight="14.4" x14ac:dyDescent="0.3"/>
  <cols>
    <col min="1" max="1" width="95" customWidth="1"/>
  </cols>
  <sheetData>
    <row r="1" spans="1:1" ht="27.75" customHeight="1" x14ac:dyDescent="0.3">
      <c r="A1" s="7" t="s">
        <v>0</v>
      </c>
    </row>
    <row r="2" spans="1:1" x14ac:dyDescent="0.3">
      <c r="A2" s="8" t="s">
        <v>1</v>
      </c>
    </row>
    <row r="3" spans="1:1" x14ac:dyDescent="0.3">
      <c r="A3" s="8"/>
    </row>
    <row r="4" spans="1:1" ht="15.6" x14ac:dyDescent="0.3">
      <c r="A4" s="9" t="s">
        <v>2</v>
      </c>
    </row>
    <row r="5" spans="1:1" x14ac:dyDescent="0.3">
      <c r="A5" s="8" t="s">
        <v>3</v>
      </c>
    </row>
    <row r="6" spans="1:1" x14ac:dyDescent="0.3">
      <c r="A6" s="8" t="s">
        <v>4</v>
      </c>
    </row>
    <row r="7" spans="1:1" x14ac:dyDescent="0.3">
      <c r="A7" s="8" t="s">
        <v>5</v>
      </c>
    </row>
    <row r="8" spans="1:1" x14ac:dyDescent="0.3">
      <c r="A8" s="8"/>
    </row>
    <row r="9" spans="1:1" ht="15.6" x14ac:dyDescent="0.3">
      <c r="A9" s="9" t="s">
        <v>6</v>
      </c>
    </row>
    <row r="10" spans="1:1" x14ac:dyDescent="0.3">
      <c r="A10" s="8" t="s">
        <v>7</v>
      </c>
    </row>
    <row r="11" spans="1:1" x14ac:dyDescent="0.3">
      <c r="A11" s="8" t="s">
        <v>8</v>
      </c>
    </row>
    <row r="12" spans="1:1" x14ac:dyDescent="0.3">
      <c r="A12" s="8" t="s">
        <v>9</v>
      </c>
    </row>
    <row r="13" spans="1:1" x14ac:dyDescent="0.3">
      <c r="A13" s="8" t="s">
        <v>10</v>
      </c>
    </row>
    <row r="14" spans="1:1" x14ac:dyDescent="0.3">
      <c r="A14" s="8" t="s">
        <v>11</v>
      </c>
    </row>
    <row r="15" spans="1:1" x14ac:dyDescent="0.3">
      <c r="A15" s="8"/>
    </row>
    <row r="16" spans="1:1" ht="15.6" x14ac:dyDescent="0.3">
      <c r="A16" s="9" t="s">
        <v>12</v>
      </c>
    </row>
    <row r="17" spans="1:1" x14ac:dyDescent="0.3">
      <c r="A17" s="8" t="s">
        <v>13</v>
      </c>
    </row>
    <row r="18" spans="1:1" x14ac:dyDescent="0.3">
      <c r="A18" s="8" t="s">
        <v>14</v>
      </c>
    </row>
    <row r="19" spans="1:1" x14ac:dyDescent="0.3">
      <c r="A19" s="8" t="s">
        <v>15</v>
      </c>
    </row>
    <row r="20" spans="1:1" x14ac:dyDescent="0.3">
      <c r="A20" s="8" t="s">
        <v>16</v>
      </c>
    </row>
    <row r="21" spans="1:1" x14ac:dyDescent="0.3">
      <c r="A21" s="8" t="s">
        <v>17</v>
      </c>
    </row>
    <row r="22" spans="1:1" x14ac:dyDescent="0.3">
      <c r="A22" s="8" t="s">
        <v>18</v>
      </c>
    </row>
    <row r="23" spans="1:1" x14ac:dyDescent="0.3">
      <c r="A23" s="8"/>
    </row>
    <row r="24" spans="1:1" ht="15.6" x14ac:dyDescent="0.3">
      <c r="A24" s="9" t="s">
        <v>19</v>
      </c>
    </row>
    <row r="25" spans="1:1" x14ac:dyDescent="0.3">
      <c r="A25" s="8" t="s">
        <v>20</v>
      </c>
    </row>
    <row r="26" spans="1:1" x14ac:dyDescent="0.3">
      <c r="A26" s="8" t="s">
        <v>21</v>
      </c>
    </row>
    <row r="27" spans="1:1" x14ac:dyDescent="0.3">
      <c r="A27" s="8" t="s">
        <v>22</v>
      </c>
    </row>
    <row r="28" spans="1:1" x14ac:dyDescent="0.3">
      <c r="A28" s="8" t="s">
        <v>23</v>
      </c>
    </row>
    <row r="29" spans="1:1" x14ac:dyDescent="0.3">
      <c r="A29" s="8" t="s">
        <v>24</v>
      </c>
    </row>
    <row r="30" spans="1:1" x14ac:dyDescent="0.3">
      <c r="A30" s="8"/>
    </row>
    <row r="31" spans="1:1" ht="15.6" x14ac:dyDescent="0.3">
      <c r="A31" s="9" t="s">
        <v>25</v>
      </c>
    </row>
    <row r="32" spans="1:1" x14ac:dyDescent="0.3">
      <c r="A32" s="8" t="s">
        <v>26</v>
      </c>
    </row>
    <row r="33" spans="1:1" x14ac:dyDescent="0.3">
      <c r="A33" s="8" t="s">
        <v>27</v>
      </c>
    </row>
    <row r="34" spans="1:1" x14ac:dyDescent="0.3">
      <c r="A34" s="8" t="s">
        <v>28</v>
      </c>
    </row>
    <row r="35" spans="1:1" x14ac:dyDescent="0.3">
      <c r="A35" s="8"/>
    </row>
    <row r="36" spans="1:1" ht="15.6" x14ac:dyDescent="0.3">
      <c r="A36" s="9" t="s">
        <v>29</v>
      </c>
    </row>
    <row r="37" spans="1:1" x14ac:dyDescent="0.3">
      <c r="A37" s="8" t="s">
        <v>30</v>
      </c>
    </row>
    <row r="38" spans="1:1" x14ac:dyDescent="0.3">
      <c r="A38" s="8" t="s">
        <v>31</v>
      </c>
    </row>
    <row r="39" spans="1:1" x14ac:dyDescent="0.3">
      <c r="A39" s="8" t="s">
        <v>32</v>
      </c>
    </row>
    <row r="40" spans="1:1" x14ac:dyDescent="0.3">
      <c r="A40" s="8"/>
    </row>
    <row r="41" spans="1:1" ht="15.6" x14ac:dyDescent="0.3">
      <c r="A41" s="9" t="s">
        <v>33</v>
      </c>
    </row>
    <row r="42" spans="1:1" x14ac:dyDescent="0.3">
      <c r="A42" s="8" t="s">
        <v>34</v>
      </c>
    </row>
    <row r="43" spans="1:1" x14ac:dyDescent="0.3">
      <c r="A43" s="8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8" customWidth="1"/>
    <col min="3" max="3" width="22" customWidth="1"/>
    <col min="4" max="4" width="18" customWidth="1"/>
    <col min="5" max="6" width="14" customWidth="1"/>
    <col min="7" max="9" width="16" customWidth="1"/>
    <col min="10" max="10" width="12" customWidth="1"/>
    <col min="11" max="11" width="14" customWidth="1"/>
    <col min="12" max="12" width="18" customWidth="1"/>
  </cols>
  <sheetData>
    <row r="1" spans="1:12" ht="25.5" customHeight="1" x14ac:dyDescent="0.3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31.5" customHeight="1" x14ac:dyDescent="0.3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 t="s">
        <v>49</v>
      </c>
    </row>
    <row r="5" spans="1:12" x14ac:dyDescent="0.3">
      <c r="A5" s="11">
        <v>1</v>
      </c>
      <c r="B5" s="11" t="s">
        <v>50</v>
      </c>
      <c r="C5" s="11" t="s">
        <v>51</v>
      </c>
      <c r="D5" s="11" t="s">
        <v>52</v>
      </c>
      <c r="E5" s="12">
        <v>46027</v>
      </c>
      <c r="F5" s="12">
        <v>46057</v>
      </c>
      <c r="G5" s="13">
        <v>285000</v>
      </c>
      <c r="H5" s="13">
        <v>285000</v>
      </c>
      <c r="I5" s="14">
        <f t="shared" ref="I5:I34" si="0">G5-H5</f>
        <v>0</v>
      </c>
      <c r="J5" s="15" t="str">
        <f t="shared" ref="J5:J34" ca="1" si="1">IF(I5=0,"PAID",IF(TODAY()&lt;=F5,"CURRENT","OVERDUE"))</f>
        <v>PAID</v>
      </c>
      <c r="K5" s="15">
        <f t="shared" ref="K5:K34" ca="1" si="2">IF(I5=0,0,MAX(0,TODAY()-F5))</f>
        <v>0</v>
      </c>
      <c r="L5" s="15" t="str">
        <f t="shared" ref="L5:L34" si="3">IF(I5=0,"Paid",IF(K5&lt;=30,"Current (0-30)",IF(K5&lt;=60,"Overdue (31-60)",IF(K5&lt;=90,"Critical (61-90)","Severe (90+)"))))</f>
        <v>Paid</v>
      </c>
    </row>
    <row r="6" spans="1:12" x14ac:dyDescent="0.3">
      <c r="A6" s="11">
        <v>2</v>
      </c>
      <c r="B6" s="11" t="s">
        <v>53</v>
      </c>
      <c r="C6" s="11" t="s">
        <v>51</v>
      </c>
      <c r="D6" s="11" t="s">
        <v>54</v>
      </c>
      <c r="E6" s="12">
        <v>46034</v>
      </c>
      <c r="F6" s="12">
        <v>46064</v>
      </c>
      <c r="G6" s="13">
        <v>142500</v>
      </c>
      <c r="H6" s="13">
        <v>142500</v>
      </c>
      <c r="I6" s="14">
        <f t="shared" si="0"/>
        <v>0</v>
      </c>
      <c r="J6" s="15" t="str">
        <f t="shared" ca="1" si="1"/>
        <v>PAID</v>
      </c>
      <c r="K6" s="15">
        <f t="shared" ca="1" si="2"/>
        <v>0</v>
      </c>
      <c r="L6" s="15" t="str">
        <f t="shared" si="3"/>
        <v>Paid</v>
      </c>
    </row>
    <row r="7" spans="1:12" x14ac:dyDescent="0.3">
      <c r="A7" s="11">
        <v>3</v>
      </c>
      <c r="B7" s="11" t="s">
        <v>55</v>
      </c>
      <c r="C7" s="11" t="s">
        <v>56</v>
      </c>
      <c r="D7" s="11" t="s">
        <v>57</v>
      </c>
      <c r="E7" s="12">
        <v>46040</v>
      </c>
      <c r="F7" s="12">
        <v>46070</v>
      </c>
      <c r="G7" s="13">
        <v>520000</v>
      </c>
      <c r="H7" s="13">
        <v>520000</v>
      </c>
      <c r="I7" s="14">
        <f t="shared" si="0"/>
        <v>0</v>
      </c>
      <c r="J7" s="15" t="str">
        <f t="shared" ca="1" si="1"/>
        <v>PAID</v>
      </c>
      <c r="K7" s="15">
        <f t="shared" ca="1" si="2"/>
        <v>0</v>
      </c>
      <c r="L7" s="15" t="str">
        <f t="shared" si="3"/>
        <v>Paid</v>
      </c>
    </row>
    <row r="8" spans="1:12" x14ac:dyDescent="0.3">
      <c r="A8" s="11">
        <v>4</v>
      </c>
      <c r="B8" s="11" t="s">
        <v>58</v>
      </c>
      <c r="C8" s="11" t="s">
        <v>59</v>
      </c>
      <c r="D8" s="11" t="s">
        <v>60</v>
      </c>
      <c r="E8" s="12">
        <v>46044</v>
      </c>
      <c r="F8" s="12">
        <v>46074</v>
      </c>
      <c r="G8" s="13">
        <v>198000</v>
      </c>
      <c r="H8" s="13">
        <v>198000</v>
      </c>
      <c r="I8" s="14">
        <f t="shared" si="0"/>
        <v>0</v>
      </c>
      <c r="J8" s="15" t="str">
        <f t="shared" ca="1" si="1"/>
        <v>PAID</v>
      </c>
      <c r="K8" s="15">
        <f t="shared" ca="1" si="2"/>
        <v>0</v>
      </c>
      <c r="L8" s="15" t="str">
        <f t="shared" si="3"/>
        <v>Paid</v>
      </c>
    </row>
    <row r="9" spans="1:12" x14ac:dyDescent="0.3">
      <c r="A9" s="11">
        <v>5</v>
      </c>
      <c r="B9" s="11" t="s">
        <v>61</v>
      </c>
      <c r="C9" s="11" t="s">
        <v>62</v>
      </c>
      <c r="D9" s="11" t="s">
        <v>63</v>
      </c>
      <c r="E9" s="12">
        <v>46055</v>
      </c>
      <c r="F9" s="12">
        <v>46085</v>
      </c>
      <c r="G9" s="13">
        <v>976000</v>
      </c>
      <c r="H9" s="13">
        <v>0</v>
      </c>
      <c r="I9" s="14">
        <f t="shared" si="0"/>
        <v>976000</v>
      </c>
      <c r="J9" s="15" t="str">
        <f t="shared" ca="1" si="1"/>
        <v>OVERDUE</v>
      </c>
      <c r="K9" s="15">
        <f t="shared" ca="1" si="2"/>
        <v>58</v>
      </c>
      <c r="L9" s="15" t="str">
        <f t="shared" ca="1" si="3"/>
        <v>Overdue (31-60)</v>
      </c>
    </row>
    <row r="10" spans="1:12" x14ac:dyDescent="0.3">
      <c r="A10" s="11">
        <v>6</v>
      </c>
      <c r="B10" s="11" t="s">
        <v>64</v>
      </c>
      <c r="C10" s="11" t="s">
        <v>65</v>
      </c>
      <c r="D10" s="11" t="s">
        <v>66</v>
      </c>
      <c r="E10" s="12">
        <v>46061</v>
      </c>
      <c r="F10" s="12">
        <v>46091</v>
      </c>
      <c r="G10" s="13">
        <v>534000</v>
      </c>
      <c r="H10" s="13">
        <v>0</v>
      </c>
      <c r="I10" s="14">
        <f t="shared" si="0"/>
        <v>534000</v>
      </c>
      <c r="J10" s="15" t="str">
        <f t="shared" ca="1" si="1"/>
        <v>OVERDUE</v>
      </c>
      <c r="K10" s="15">
        <f t="shared" ca="1" si="2"/>
        <v>52</v>
      </c>
      <c r="L10" s="15" t="str">
        <f t="shared" ca="1" si="3"/>
        <v>Overdue (31-60)</v>
      </c>
    </row>
    <row r="11" spans="1:12" x14ac:dyDescent="0.3">
      <c r="A11" s="11">
        <v>7</v>
      </c>
      <c r="B11" s="11" t="s">
        <v>67</v>
      </c>
      <c r="C11" s="11" t="s">
        <v>59</v>
      </c>
      <c r="D11" s="11" t="s">
        <v>68</v>
      </c>
      <c r="E11" s="12">
        <v>46068</v>
      </c>
      <c r="F11" s="12">
        <v>46098</v>
      </c>
      <c r="G11" s="13">
        <v>312000</v>
      </c>
      <c r="H11" s="13">
        <v>312000</v>
      </c>
      <c r="I11" s="14">
        <f t="shared" si="0"/>
        <v>0</v>
      </c>
      <c r="J11" s="15" t="str">
        <f t="shared" ca="1" si="1"/>
        <v>PAID</v>
      </c>
      <c r="K11" s="15">
        <f t="shared" ca="1" si="2"/>
        <v>0</v>
      </c>
      <c r="L11" s="15" t="str">
        <f t="shared" si="3"/>
        <v>Paid</v>
      </c>
    </row>
    <row r="12" spans="1:12" x14ac:dyDescent="0.3">
      <c r="A12" s="11">
        <v>8</v>
      </c>
      <c r="B12" s="11" t="s">
        <v>69</v>
      </c>
      <c r="C12" s="11" t="s">
        <v>62</v>
      </c>
      <c r="D12" s="11" t="s">
        <v>70</v>
      </c>
      <c r="E12" s="12">
        <v>46073</v>
      </c>
      <c r="F12" s="12">
        <v>46103</v>
      </c>
      <c r="G12" s="13">
        <v>890000</v>
      </c>
      <c r="H12" s="13">
        <v>890000</v>
      </c>
      <c r="I12" s="14">
        <f t="shared" si="0"/>
        <v>0</v>
      </c>
      <c r="J12" s="15" t="str">
        <f t="shared" ca="1" si="1"/>
        <v>PAID</v>
      </c>
      <c r="K12" s="15">
        <f t="shared" ca="1" si="2"/>
        <v>0</v>
      </c>
      <c r="L12" s="15" t="str">
        <f t="shared" si="3"/>
        <v>Paid</v>
      </c>
    </row>
    <row r="13" spans="1:12" x14ac:dyDescent="0.3">
      <c r="A13" s="11">
        <v>9</v>
      </c>
      <c r="B13" s="11" t="s">
        <v>71</v>
      </c>
      <c r="C13" s="11" t="s">
        <v>59</v>
      </c>
      <c r="D13" s="11" t="s">
        <v>72</v>
      </c>
      <c r="E13" s="12">
        <v>46078</v>
      </c>
      <c r="F13" s="12">
        <v>46108</v>
      </c>
      <c r="G13" s="13">
        <v>245000</v>
      </c>
      <c r="H13" s="13">
        <v>245000</v>
      </c>
      <c r="I13" s="14">
        <f t="shared" si="0"/>
        <v>0</v>
      </c>
      <c r="J13" s="15" t="str">
        <f t="shared" ca="1" si="1"/>
        <v>PAID</v>
      </c>
      <c r="K13" s="15">
        <f t="shared" ca="1" si="2"/>
        <v>0</v>
      </c>
      <c r="L13" s="15" t="str">
        <f t="shared" si="3"/>
        <v>Paid</v>
      </c>
    </row>
    <row r="14" spans="1:12" x14ac:dyDescent="0.3">
      <c r="A14" s="11">
        <v>10</v>
      </c>
      <c r="B14" s="11" t="s">
        <v>73</v>
      </c>
      <c r="C14" s="11" t="s">
        <v>51</v>
      </c>
      <c r="D14" s="11" t="s">
        <v>74</v>
      </c>
      <c r="E14" s="12">
        <v>46082</v>
      </c>
      <c r="F14" s="12">
        <v>46112</v>
      </c>
      <c r="G14" s="13">
        <v>178000</v>
      </c>
      <c r="H14" s="13">
        <v>178000</v>
      </c>
      <c r="I14" s="14">
        <f t="shared" si="0"/>
        <v>0</v>
      </c>
      <c r="J14" s="15" t="str">
        <f t="shared" ca="1" si="1"/>
        <v>PAID</v>
      </c>
      <c r="K14" s="15">
        <f t="shared" ca="1" si="2"/>
        <v>0</v>
      </c>
      <c r="L14" s="15" t="str">
        <f t="shared" si="3"/>
        <v>Paid</v>
      </c>
    </row>
    <row r="15" spans="1:12" x14ac:dyDescent="0.3">
      <c r="A15" s="11">
        <v>11</v>
      </c>
      <c r="B15" s="11" t="s">
        <v>75</v>
      </c>
      <c r="C15" s="11" t="s">
        <v>65</v>
      </c>
      <c r="D15" s="11" t="s">
        <v>76</v>
      </c>
      <c r="E15" s="12">
        <v>46086</v>
      </c>
      <c r="F15" s="12">
        <v>46116</v>
      </c>
      <c r="G15" s="13">
        <v>234500</v>
      </c>
      <c r="H15" s="13">
        <v>234500</v>
      </c>
      <c r="I15" s="14">
        <f t="shared" si="0"/>
        <v>0</v>
      </c>
      <c r="J15" s="15" t="str">
        <f t="shared" ca="1" si="1"/>
        <v>PAID</v>
      </c>
      <c r="K15" s="15">
        <f t="shared" ca="1" si="2"/>
        <v>0</v>
      </c>
      <c r="L15" s="15" t="str">
        <f t="shared" si="3"/>
        <v>Paid</v>
      </c>
    </row>
    <row r="16" spans="1:12" x14ac:dyDescent="0.3">
      <c r="A16" s="11">
        <v>12</v>
      </c>
      <c r="B16" s="11" t="s">
        <v>77</v>
      </c>
      <c r="C16" s="11" t="s">
        <v>65</v>
      </c>
      <c r="D16" s="11" t="s">
        <v>78</v>
      </c>
      <c r="E16" s="12">
        <v>46089</v>
      </c>
      <c r="F16" s="12">
        <v>46119</v>
      </c>
      <c r="G16" s="13">
        <v>412000</v>
      </c>
      <c r="H16" s="13">
        <v>0</v>
      </c>
      <c r="I16" s="14">
        <f t="shared" si="0"/>
        <v>412000</v>
      </c>
      <c r="J16" s="15" t="str">
        <f t="shared" ca="1" si="1"/>
        <v>OVERDUE</v>
      </c>
      <c r="K16" s="15">
        <f t="shared" ca="1" si="2"/>
        <v>24</v>
      </c>
      <c r="L16" s="15" t="str">
        <f t="shared" ca="1" si="3"/>
        <v>Current (0-30)</v>
      </c>
    </row>
    <row r="17" spans="1:12" x14ac:dyDescent="0.3">
      <c r="A17" s="11">
        <v>13</v>
      </c>
      <c r="B17" s="11" t="s">
        <v>79</v>
      </c>
      <c r="C17" s="11" t="s">
        <v>56</v>
      </c>
      <c r="D17" s="11" t="s">
        <v>80</v>
      </c>
      <c r="E17" s="12">
        <v>46093</v>
      </c>
      <c r="F17" s="12">
        <v>46123</v>
      </c>
      <c r="G17" s="13">
        <v>678000</v>
      </c>
      <c r="H17" s="13">
        <v>0</v>
      </c>
      <c r="I17" s="14">
        <f t="shared" si="0"/>
        <v>678000</v>
      </c>
      <c r="J17" s="15" t="str">
        <f t="shared" ca="1" si="1"/>
        <v>OVERDUE</v>
      </c>
      <c r="K17" s="15">
        <f t="shared" ca="1" si="2"/>
        <v>20</v>
      </c>
      <c r="L17" s="15" t="str">
        <f t="shared" ca="1" si="3"/>
        <v>Current (0-30)</v>
      </c>
    </row>
    <row r="18" spans="1:12" x14ac:dyDescent="0.3">
      <c r="A18" s="11">
        <v>14</v>
      </c>
      <c r="B18" s="11" t="s">
        <v>81</v>
      </c>
      <c r="C18" s="11" t="s">
        <v>51</v>
      </c>
      <c r="D18" s="11" t="s">
        <v>82</v>
      </c>
      <c r="E18" s="12">
        <v>46096</v>
      </c>
      <c r="F18" s="12">
        <v>46126</v>
      </c>
      <c r="G18" s="13">
        <v>425000</v>
      </c>
      <c r="H18" s="13">
        <v>425000</v>
      </c>
      <c r="I18" s="14">
        <f t="shared" si="0"/>
        <v>0</v>
      </c>
      <c r="J18" s="15" t="str">
        <f t="shared" ca="1" si="1"/>
        <v>PAID</v>
      </c>
      <c r="K18" s="15">
        <f t="shared" ca="1" si="2"/>
        <v>0</v>
      </c>
      <c r="L18" s="15" t="str">
        <f t="shared" si="3"/>
        <v>Paid</v>
      </c>
    </row>
    <row r="19" spans="1:12" x14ac:dyDescent="0.3">
      <c r="A19" s="11">
        <v>15</v>
      </c>
      <c r="B19" s="11" t="s">
        <v>83</v>
      </c>
      <c r="C19" s="11" t="s">
        <v>59</v>
      </c>
      <c r="D19" s="11" t="s">
        <v>84</v>
      </c>
      <c r="E19" s="12">
        <v>46099</v>
      </c>
      <c r="F19" s="12">
        <v>46129</v>
      </c>
      <c r="G19" s="13">
        <v>345000</v>
      </c>
      <c r="H19" s="13">
        <v>0</v>
      </c>
      <c r="I19" s="14">
        <f t="shared" si="0"/>
        <v>345000</v>
      </c>
      <c r="J19" s="15" t="str">
        <f t="shared" ca="1" si="1"/>
        <v>OVERDUE</v>
      </c>
      <c r="K19" s="15">
        <f t="shared" ca="1" si="2"/>
        <v>14</v>
      </c>
      <c r="L19" s="15" t="str">
        <f t="shared" ca="1" si="3"/>
        <v>Current (0-30)</v>
      </c>
    </row>
    <row r="20" spans="1:12" x14ac:dyDescent="0.3">
      <c r="A20" s="11">
        <v>16</v>
      </c>
      <c r="B20" s="11" t="s">
        <v>85</v>
      </c>
      <c r="C20" s="11" t="s">
        <v>51</v>
      </c>
      <c r="D20" s="11" t="s">
        <v>86</v>
      </c>
      <c r="E20" s="12">
        <v>46101</v>
      </c>
      <c r="F20" s="12">
        <v>46131</v>
      </c>
      <c r="G20" s="13">
        <v>156000</v>
      </c>
      <c r="H20" s="13">
        <v>156000</v>
      </c>
      <c r="I20" s="14">
        <f t="shared" si="0"/>
        <v>0</v>
      </c>
      <c r="J20" s="15" t="str">
        <f t="shared" ca="1" si="1"/>
        <v>PAID</v>
      </c>
      <c r="K20" s="15">
        <f t="shared" ca="1" si="2"/>
        <v>0</v>
      </c>
      <c r="L20" s="15" t="str">
        <f t="shared" si="3"/>
        <v>Paid</v>
      </c>
    </row>
    <row r="21" spans="1:12" x14ac:dyDescent="0.3">
      <c r="A21" s="11">
        <v>17</v>
      </c>
      <c r="B21" s="11" t="s">
        <v>87</v>
      </c>
      <c r="C21" s="11" t="s">
        <v>65</v>
      </c>
      <c r="D21" s="11" t="s">
        <v>88</v>
      </c>
      <c r="E21" s="12">
        <v>46103</v>
      </c>
      <c r="F21" s="12">
        <v>46133</v>
      </c>
      <c r="G21" s="13">
        <v>198000</v>
      </c>
      <c r="H21" s="13">
        <v>0</v>
      </c>
      <c r="I21" s="14">
        <f t="shared" si="0"/>
        <v>198000</v>
      </c>
      <c r="J21" s="15" t="str">
        <f t="shared" ca="1" si="1"/>
        <v>OVERDUE</v>
      </c>
      <c r="K21" s="15">
        <f t="shared" ca="1" si="2"/>
        <v>10</v>
      </c>
      <c r="L21" s="15" t="str">
        <f t="shared" ca="1" si="3"/>
        <v>Current (0-30)</v>
      </c>
    </row>
    <row r="22" spans="1:12" x14ac:dyDescent="0.3">
      <c r="A22" s="11">
        <v>18</v>
      </c>
      <c r="B22" s="11" t="s">
        <v>89</v>
      </c>
      <c r="C22" s="11" t="s">
        <v>56</v>
      </c>
      <c r="D22" s="11" t="s">
        <v>90</v>
      </c>
      <c r="E22" s="12">
        <v>46106</v>
      </c>
      <c r="F22" s="12">
        <v>46136</v>
      </c>
      <c r="G22" s="13">
        <v>567000</v>
      </c>
      <c r="H22" s="13">
        <v>567000</v>
      </c>
      <c r="I22" s="14">
        <f t="shared" si="0"/>
        <v>0</v>
      </c>
      <c r="J22" s="15" t="str">
        <f t="shared" ca="1" si="1"/>
        <v>PAID</v>
      </c>
      <c r="K22" s="15">
        <f t="shared" ca="1" si="2"/>
        <v>0</v>
      </c>
      <c r="L22" s="15" t="str">
        <f t="shared" si="3"/>
        <v>Paid</v>
      </c>
    </row>
    <row r="23" spans="1:12" x14ac:dyDescent="0.3">
      <c r="A23" s="11">
        <v>19</v>
      </c>
      <c r="B23" s="11" t="s">
        <v>91</v>
      </c>
      <c r="C23" s="11" t="s">
        <v>56</v>
      </c>
      <c r="D23" s="11" t="s">
        <v>92</v>
      </c>
      <c r="E23" s="12">
        <v>46109</v>
      </c>
      <c r="F23" s="12">
        <v>46139</v>
      </c>
      <c r="G23" s="13">
        <v>845000</v>
      </c>
      <c r="H23" s="13">
        <v>0</v>
      </c>
      <c r="I23" s="14">
        <f t="shared" si="0"/>
        <v>845000</v>
      </c>
      <c r="J23" s="15" t="str">
        <f t="shared" ca="1" si="1"/>
        <v>OVERDUE</v>
      </c>
      <c r="K23" s="15">
        <f t="shared" ca="1" si="2"/>
        <v>4</v>
      </c>
      <c r="L23" s="15" t="str">
        <f t="shared" ca="1" si="3"/>
        <v>Current (0-30)</v>
      </c>
    </row>
    <row r="24" spans="1:12" x14ac:dyDescent="0.3">
      <c r="A24" s="11">
        <v>20</v>
      </c>
      <c r="B24" s="11" t="s">
        <v>93</v>
      </c>
      <c r="C24" s="11" t="s">
        <v>62</v>
      </c>
      <c r="D24" s="11" t="s">
        <v>94</v>
      </c>
      <c r="E24" s="12">
        <v>46113</v>
      </c>
      <c r="F24" s="12">
        <v>46143</v>
      </c>
      <c r="G24" s="13">
        <v>723000</v>
      </c>
      <c r="H24" s="13">
        <v>0</v>
      </c>
      <c r="I24" s="14">
        <f t="shared" si="0"/>
        <v>723000</v>
      </c>
      <c r="J24" s="15" t="str">
        <f t="shared" ca="1" si="1"/>
        <v>CURRENT</v>
      </c>
      <c r="K24" s="15">
        <f t="shared" ca="1" si="2"/>
        <v>0</v>
      </c>
      <c r="L24" s="15" t="str">
        <f t="shared" ca="1" si="3"/>
        <v>Current (0-30)</v>
      </c>
    </row>
    <row r="25" spans="1:12" x14ac:dyDescent="0.3">
      <c r="A25" s="11">
        <v>21</v>
      </c>
      <c r="B25" s="11" t="s">
        <v>95</v>
      </c>
      <c r="C25" s="11" t="s">
        <v>56</v>
      </c>
      <c r="D25" s="11" t="s">
        <v>96</v>
      </c>
      <c r="E25" s="12">
        <v>46115</v>
      </c>
      <c r="F25" s="12">
        <v>46145</v>
      </c>
      <c r="G25" s="13">
        <v>489000</v>
      </c>
      <c r="H25" s="13">
        <v>0</v>
      </c>
      <c r="I25" s="14">
        <f t="shared" si="0"/>
        <v>489000</v>
      </c>
      <c r="J25" s="15" t="str">
        <f t="shared" ca="1" si="1"/>
        <v>CURRENT</v>
      </c>
      <c r="K25" s="15">
        <f t="shared" ca="1" si="2"/>
        <v>0</v>
      </c>
      <c r="L25" s="15" t="str">
        <f t="shared" ca="1" si="3"/>
        <v>Current (0-30)</v>
      </c>
    </row>
    <row r="26" spans="1:12" x14ac:dyDescent="0.3">
      <c r="A26" s="11">
        <v>22</v>
      </c>
      <c r="B26" s="11" t="s">
        <v>97</v>
      </c>
      <c r="C26" s="11" t="s">
        <v>62</v>
      </c>
      <c r="D26" s="11" t="s">
        <v>98</v>
      </c>
      <c r="E26" s="12">
        <v>46117</v>
      </c>
      <c r="F26" s="12">
        <v>46147</v>
      </c>
      <c r="G26" s="13">
        <v>1234000</v>
      </c>
      <c r="H26" s="13">
        <v>1234000</v>
      </c>
      <c r="I26" s="14">
        <f t="shared" si="0"/>
        <v>0</v>
      </c>
      <c r="J26" s="15" t="str">
        <f t="shared" ca="1" si="1"/>
        <v>PAID</v>
      </c>
      <c r="K26" s="15">
        <f t="shared" ca="1" si="2"/>
        <v>0</v>
      </c>
      <c r="L26" s="15" t="str">
        <f t="shared" si="3"/>
        <v>Paid</v>
      </c>
    </row>
    <row r="27" spans="1:12" x14ac:dyDescent="0.3">
      <c r="A27" s="11">
        <v>23</v>
      </c>
      <c r="B27" s="11" t="s">
        <v>99</v>
      </c>
      <c r="C27" s="11" t="s">
        <v>62</v>
      </c>
      <c r="D27" s="11" t="s">
        <v>100</v>
      </c>
      <c r="E27" s="12">
        <v>46120</v>
      </c>
      <c r="F27" s="12">
        <v>46150</v>
      </c>
      <c r="G27" s="13">
        <v>678000</v>
      </c>
      <c r="H27" s="13">
        <v>0</v>
      </c>
      <c r="I27" s="14">
        <f t="shared" si="0"/>
        <v>678000</v>
      </c>
      <c r="J27" s="15" t="str">
        <f t="shared" ca="1" si="1"/>
        <v>CURRENT</v>
      </c>
      <c r="K27" s="15">
        <f t="shared" ca="1" si="2"/>
        <v>0</v>
      </c>
      <c r="L27" s="15" t="str">
        <f t="shared" ca="1" si="3"/>
        <v>Current (0-30)</v>
      </c>
    </row>
    <row r="28" spans="1:12" x14ac:dyDescent="0.3">
      <c r="A28" s="11">
        <v>24</v>
      </c>
      <c r="B28" s="11" t="s">
        <v>101</v>
      </c>
      <c r="C28" s="11" t="s">
        <v>59</v>
      </c>
      <c r="D28" s="11" t="s">
        <v>102</v>
      </c>
      <c r="E28" s="12">
        <v>46122</v>
      </c>
      <c r="F28" s="12">
        <v>46152</v>
      </c>
      <c r="G28" s="13">
        <v>357000</v>
      </c>
      <c r="H28" s="13">
        <v>0</v>
      </c>
      <c r="I28" s="14">
        <f t="shared" si="0"/>
        <v>357000</v>
      </c>
      <c r="J28" s="15" t="str">
        <f t="shared" ca="1" si="1"/>
        <v>CURRENT</v>
      </c>
      <c r="K28" s="15">
        <f t="shared" ca="1" si="2"/>
        <v>0</v>
      </c>
      <c r="L28" s="15" t="str">
        <f t="shared" ca="1" si="3"/>
        <v>Current (0-30)</v>
      </c>
    </row>
    <row r="29" spans="1:12" x14ac:dyDescent="0.3">
      <c r="A29" s="11">
        <v>25</v>
      </c>
      <c r="B29" s="11" t="s">
        <v>103</v>
      </c>
      <c r="C29" s="11" t="s">
        <v>56</v>
      </c>
      <c r="D29" s="11" t="s">
        <v>104</v>
      </c>
      <c r="E29" s="12">
        <v>46124</v>
      </c>
      <c r="F29" s="12">
        <v>46154</v>
      </c>
      <c r="G29" s="13">
        <v>415000</v>
      </c>
      <c r="H29" s="13">
        <v>0</v>
      </c>
      <c r="I29" s="14">
        <f t="shared" si="0"/>
        <v>415000</v>
      </c>
      <c r="J29" s="15" t="str">
        <f t="shared" ca="1" si="1"/>
        <v>CURRENT</v>
      </c>
      <c r="K29" s="15">
        <f t="shared" ca="1" si="2"/>
        <v>0</v>
      </c>
      <c r="L29" s="15" t="str">
        <f t="shared" ca="1" si="3"/>
        <v>Current (0-30)</v>
      </c>
    </row>
    <row r="30" spans="1:12" x14ac:dyDescent="0.3">
      <c r="A30" s="11">
        <v>26</v>
      </c>
      <c r="B30" s="11" t="s">
        <v>105</v>
      </c>
      <c r="C30" s="11" t="s">
        <v>65</v>
      </c>
      <c r="D30" s="11" t="s">
        <v>106</v>
      </c>
      <c r="E30" s="12">
        <v>46127</v>
      </c>
      <c r="F30" s="12">
        <v>46157</v>
      </c>
      <c r="G30" s="13">
        <v>234000</v>
      </c>
      <c r="H30" s="13">
        <v>234000</v>
      </c>
      <c r="I30" s="14">
        <f t="shared" si="0"/>
        <v>0</v>
      </c>
      <c r="J30" s="15" t="str">
        <f t="shared" ca="1" si="1"/>
        <v>PAID</v>
      </c>
      <c r="K30" s="15">
        <f t="shared" ca="1" si="2"/>
        <v>0</v>
      </c>
      <c r="L30" s="15" t="str">
        <f t="shared" si="3"/>
        <v>Paid</v>
      </c>
    </row>
    <row r="31" spans="1:12" x14ac:dyDescent="0.3">
      <c r="A31" s="11">
        <v>27</v>
      </c>
      <c r="B31" s="11" t="s">
        <v>107</v>
      </c>
      <c r="C31" s="11" t="s">
        <v>65</v>
      </c>
      <c r="D31" s="11" t="s">
        <v>108</v>
      </c>
      <c r="E31" s="12">
        <v>46130</v>
      </c>
      <c r="F31" s="12">
        <v>46160</v>
      </c>
      <c r="G31" s="13">
        <v>167000</v>
      </c>
      <c r="H31" s="13">
        <v>0</v>
      </c>
      <c r="I31" s="14">
        <f t="shared" si="0"/>
        <v>167000</v>
      </c>
      <c r="J31" s="15" t="str">
        <f t="shared" ca="1" si="1"/>
        <v>CURRENT</v>
      </c>
      <c r="K31" s="15">
        <f t="shared" ca="1" si="2"/>
        <v>0</v>
      </c>
      <c r="L31" s="15" t="str">
        <f t="shared" ca="1" si="3"/>
        <v>Current (0-30)</v>
      </c>
    </row>
    <row r="32" spans="1:12" x14ac:dyDescent="0.3">
      <c r="A32" s="11">
        <v>28</v>
      </c>
      <c r="B32" s="11" t="s">
        <v>109</v>
      </c>
      <c r="C32" s="11" t="s">
        <v>56</v>
      </c>
      <c r="D32" s="11" t="s">
        <v>110</v>
      </c>
      <c r="E32" s="12">
        <v>46132</v>
      </c>
      <c r="F32" s="12">
        <v>46162</v>
      </c>
      <c r="G32" s="13">
        <v>545000</v>
      </c>
      <c r="H32" s="13">
        <v>0</v>
      </c>
      <c r="I32" s="14">
        <f t="shared" si="0"/>
        <v>545000</v>
      </c>
      <c r="J32" s="15" t="str">
        <f t="shared" ca="1" si="1"/>
        <v>CURRENT</v>
      </c>
      <c r="K32" s="15">
        <f t="shared" ca="1" si="2"/>
        <v>0</v>
      </c>
      <c r="L32" s="15" t="str">
        <f t="shared" ca="1" si="3"/>
        <v>Current (0-30)</v>
      </c>
    </row>
    <row r="33" spans="1:12" x14ac:dyDescent="0.3">
      <c r="A33" s="11">
        <v>29</v>
      </c>
      <c r="B33" s="11" t="s">
        <v>111</v>
      </c>
      <c r="C33" s="11" t="s">
        <v>62</v>
      </c>
      <c r="D33" s="11" t="s">
        <v>112</v>
      </c>
      <c r="E33" s="12">
        <v>46134</v>
      </c>
      <c r="F33" s="12">
        <v>46164</v>
      </c>
      <c r="G33" s="13">
        <v>890000</v>
      </c>
      <c r="H33" s="13">
        <v>890000</v>
      </c>
      <c r="I33" s="14">
        <f t="shared" si="0"/>
        <v>0</v>
      </c>
      <c r="J33" s="15" t="str">
        <f t="shared" ca="1" si="1"/>
        <v>PAID</v>
      </c>
      <c r="K33" s="15">
        <f t="shared" ca="1" si="2"/>
        <v>0</v>
      </c>
      <c r="L33" s="15" t="str">
        <f t="shared" si="3"/>
        <v>Paid</v>
      </c>
    </row>
    <row r="34" spans="1:12" x14ac:dyDescent="0.3">
      <c r="A34" s="11">
        <v>30</v>
      </c>
      <c r="B34" s="11" t="s">
        <v>113</v>
      </c>
      <c r="C34" s="11" t="s">
        <v>59</v>
      </c>
      <c r="D34" s="11" t="s">
        <v>114</v>
      </c>
      <c r="E34" s="12">
        <v>46137</v>
      </c>
      <c r="F34" s="12">
        <v>46167</v>
      </c>
      <c r="G34" s="13">
        <v>300000</v>
      </c>
      <c r="H34" s="13">
        <v>0</v>
      </c>
      <c r="I34" s="14">
        <f t="shared" si="0"/>
        <v>300000</v>
      </c>
      <c r="J34" s="15" t="str">
        <f t="shared" ca="1" si="1"/>
        <v>CURRENT</v>
      </c>
      <c r="K34" s="15">
        <f t="shared" ca="1" si="2"/>
        <v>0</v>
      </c>
      <c r="L34" s="15" t="str">
        <f t="shared" ca="1" si="3"/>
        <v>Current (0-30)</v>
      </c>
    </row>
  </sheetData>
  <mergeCells count="2">
    <mergeCell ref="A1:L1"/>
    <mergeCell ref="A2:L2"/>
  </mergeCells>
  <conditionalFormatting sqref="L5:L34">
    <cfRule type="expression" dxfId="4" priority="2">
      <formula>$L5="Paid"</formula>
    </cfRule>
    <cfRule type="expression" dxfId="3" priority="3">
      <formula>$L5="Current (0-30)"</formula>
    </cfRule>
    <cfRule type="expression" dxfId="2" priority="4">
      <formula>$L5="Overdue (31-60)"</formula>
    </cfRule>
    <cfRule type="expression" dxfId="1" priority="5">
      <formula>$L5="Critical (61-90)"</formula>
    </cfRule>
    <cfRule type="expression" dxfId="0" priority="6">
      <formula>$L5="Severe (90+)"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20" customWidth="1"/>
    <col min="4" max="4" width="18" customWidth="1"/>
    <col min="5" max="5" width="14" customWidth="1"/>
    <col min="6" max="6" width="32" customWidth="1"/>
  </cols>
  <sheetData>
    <row r="1" spans="1:6" ht="25.5" customHeight="1" x14ac:dyDescent="0.3">
      <c r="A1" s="6" t="s">
        <v>115</v>
      </c>
      <c r="B1" s="6"/>
      <c r="C1" s="6"/>
      <c r="D1" s="6"/>
      <c r="E1" s="6"/>
      <c r="F1" s="6"/>
    </row>
    <row r="2" spans="1:6" x14ac:dyDescent="0.3">
      <c r="A2" s="5" t="s">
        <v>116</v>
      </c>
      <c r="B2" s="5"/>
      <c r="C2" s="5"/>
      <c r="D2" s="5"/>
      <c r="E2" s="5"/>
      <c r="F2" s="5"/>
    </row>
    <row r="4" spans="1:6" x14ac:dyDescent="0.3">
      <c r="A4" s="4" t="s">
        <v>117</v>
      </c>
      <c r="B4" s="4"/>
      <c r="C4" s="4" t="s">
        <v>118</v>
      </c>
      <c r="D4" s="4"/>
      <c r="E4" s="4" t="s">
        <v>119</v>
      </c>
      <c r="F4" s="4"/>
    </row>
    <row r="5" spans="1:6" ht="18" x14ac:dyDescent="0.3">
      <c r="A5" s="3">
        <f>COUNTA(Invoice_Register!B5:B34)</f>
        <v>30</v>
      </c>
      <c r="B5" s="3"/>
      <c r="C5" s="2">
        <f>SUM(Invoice_Register!G5:G34)</f>
        <v>14173000</v>
      </c>
      <c r="D5" s="2"/>
      <c r="E5" s="2">
        <f>SUM(Invoice_Register!H5:H34)</f>
        <v>6511000</v>
      </c>
      <c r="F5" s="2"/>
    </row>
    <row r="7" spans="1:6" x14ac:dyDescent="0.3">
      <c r="A7" s="4" t="s">
        <v>120</v>
      </c>
      <c r="B7" s="4"/>
      <c r="C7" s="4" t="s">
        <v>121</v>
      </c>
      <c r="D7" s="4"/>
      <c r="E7" s="4" t="s">
        <v>122</v>
      </c>
      <c r="F7" s="4"/>
    </row>
    <row r="8" spans="1:6" ht="18" x14ac:dyDescent="0.3">
      <c r="A8" s="2">
        <f>SUM(Invoice_Register!I5:I34)</f>
        <v>7662000</v>
      </c>
      <c r="B8" s="2"/>
      <c r="C8" s="3">
        <f ca="1">COUNTIF(Invoice_Register!J5:J34,"OVERDUE")</f>
        <v>7</v>
      </c>
      <c r="D8" s="3"/>
      <c r="E8" s="3">
        <f ca="1">COUNTIF(Invoice_Register!J5:J34,"PAID")</f>
        <v>15</v>
      </c>
      <c r="F8" s="3"/>
    </row>
    <row r="11" spans="1:6" ht="15.6" x14ac:dyDescent="0.3">
      <c r="A11" s="1" t="s">
        <v>123</v>
      </c>
      <c r="B11" s="1"/>
      <c r="C11" s="1"/>
      <c r="D11" s="1"/>
      <c r="E11" s="1"/>
      <c r="F11" s="1"/>
    </row>
    <row r="12" spans="1:6" x14ac:dyDescent="0.3">
      <c r="A12" s="16" t="s">
        <v>49</v>
      </c>
      <c r="B12" s="16" t="s">
        <v>124</v>
      </c>
      <c r="C12" s="16" t="s">
        <v>46</v>
      </c>
      <c r="D12" s="16" t="s">
        <v>125</v>
      </c>
      <c r="E12" s="16" t="s">
        <v>126</v>
      </c>
      <c r="F12" s="16" t="s">
        <v>127</v>
      </c>
    </row>
    <row r="13" spans="1:6" x14ac:dyDescent="0.3">
      <c r="A13" s="17" t="s">
        <v>128</v>
      </c>
      <c r="B13" s="18">
        <f ca="1">COUNTIF(Invoice_Register!L5:L34,"Paid")</f>
        <v>15</v>
      </c>
      <c r="C13" s="19">
        <f ca="1">SUMIF(Invoice_Register!L5:L34,"Paid",Invoice_Register!I5:I34)</f>
        <v>0</v>
      </c>
      <c r="D13" s="20">
        <f ca="1">IFERROR(C13/SUM($I$7),0)</f>
        <v>0</v>
      </c>
      <c r="E13" s="21" t="s">
        <v>129</v>
      </c>
      <c r="F13" s="22" t="s">
        <v>130</v>
      </c>
    </row>
    <row r="14" spans="1:6" x14ac:dyDescent="0.3">
      <c r="A14" s="23" t="s">
        <v>131</v>
      </c>
      <c r="B14" s="24">
        <f ca="1">COUNTIF(Invoice_Register!L5:L34,"Current (0-30)")</f>
        <v>13</v>
      </c>
      <c r="C14" s="25">
        <f ca="1">SUMIF(Invoice_Register!L5:L34,"Current (0-30)",Invoice_Register!I5:I34)</f>
        <v>6152000</v>
      </c>
      <c r="D14" s="26">
        <f ca="1">IFERROR(C14/SUM($I$7),0)</f>
        <v>0</v>
      </c>
      <c r="E14" s="27" t="s">
        <v>132</v>
      </c>
      <c r="F14" s="28" t="s">
        <v>133</v>
      </c>
    </row>
    <row r="15" spans="1:6" x14ac:dyDescent="0.3">
      <c r="A15" s="29" t="s">
        <v>134</v>
      </c>
      <c r="B15" s="30">
        <f ca="1">COUNTIF(Invoice_Register!L5:L34,"Overdue (31-60)")</f>
        <v>2</v>
      </c>
      <c r="C15" s="31">
        <f ca="1">SUMIF(Invoice_Register!L5:L34,"Overdue (31-60)",Invoice_Register!I5:I34)</f>
        <v>1510000</v>
      </c>
      <c r="D15" s="32">
        <f ca="1">IFERROR(C15/SUM($I$7),0)</f>
        <v>0</v>
      </c>
      <c r="E15" s="33" t="s">
        <v>135</v>
      </c>
      <c r="F15" s="34" t="s">
        <v>136</v>
      </c>
    </row>
    <row r="16" spans="1:6" x14ac:dyDescent="0.3">
      <c r="A16" s="35" t="s">
        <v>137</v>
      </c>
      <c r="B16" s="36">
        <f ca="1">COUNTIF(Invoice_Register!L5:L34,"Critical (61-90)")</f>
        <v>0</v>
      </c>
      <c r="C16" s="37">
        <f ca="1">SUMIF(Invoice_Register!L5:L34,"Critical (61-90)",Invoice_Register!I5:I34)</f>
        <v>0</v>
      </c>
      <c r="D16" s="38">
        <f ca="1">IFERROR(C16/SUM($I$7),0)</f>
        <v>0</v>
      </c>
      <c r="E16" s="39" t="s">
        <v>138</v>
      </c>
      <c r="F16" s="40" t="s">
        <v>139</v>
      </c>
    </row>
    <row r="17" spans="1:6" x14ac:dyDescent="0.3">
      <c r="A17" s="41" t="s">
        <v>140</v>
      </c>
      <c r="B17" s="42">
        <f ca="1">COUNTIF(Invoice_Register!L5:L34,"Severe (90+)")</f>
        <v>0</v>
      </c>
      <c r="C17" s="43">
        <f ca="1">SUMIF(Invoice_Register!L5:L34,"Severe (90+)",Invoice_Register!I5:I34)</f>
        <v>0</v>
      </c>
      <c r="D17" s="44">
        <f ca="1">IFERROR(C17/SUM($I$7),0)</f>
        <v>0</v>
      </c>
      <c r="E17" s="45" t="s">
        <v>141</v>
      </c>
      <c r="F17" s="46" t="s">
        <v>142</v>
      </c>
    </row>
    <row r="18" spans="1:6" x14ac:dyDescent="0.3">
      <c r="A18" s="47" t="s">
        <v>143</v>
      </c>
      <c r="B18" s="47">
        <f ca="1">SUM(B13:B17)</f>
        <v>30</v>
      </c>
      <c r="C18" s="48">
        <f ca="1">SUM(C13:C17)</f>
        <v>7662000</v>
      </c>
      <c r="D18" s="49">
        <f ca="1">SUM(D13:D17)</f>
        <v>0</v>
      </c>
      <c r="E18" s="47"/>
      <c r="F18" s="47"/>
    </row>
  </sheetData>
  <mergeCells count="15">
    <mergeCell ref="A8:B8"/>
    <mergeCell ref="C8:D8"/>
    <mergeCell ref="E8:F8"/>
    <mergeCell ref="A11:F11"/>
    <mergeCell ref="A5:B5"/>
    <mergeCell ref="C5:D5"/>
    <mergeCell ref="E5:F5"/>
    <mergeCell ref="A7:B7"/>
    <mergeCell ref="C7:D7"/>
    <mergeCell ref="E7:F7"/>
    <mergeCell ref="A1:F1"/>
    <mergeCell ref="A2:F2"/>
    <mergeCell ref="A4:B4"/>
    <mergeCell ref="C4:D4"/>
    <mergeCell ref="E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2" customWidth="1"/>
    <col min="3" max="5" width="18" customWidth="1"/>
    <col min="6" max="7" width="16" customWidth="1"/>
  </cols>
  <sheetData>
    <row r="1" spans="1:7" ht="25.5" customHeight="1" x14ac:dyDescent="0.3">
      <c r="A1" s="6" t="s">
        <v>144</v>
      </c>
      <c r="B1" s="6"/>
      <c r="C1" s="6"/>
      <c r="D1" s="6"/>
      <c r="E1" s="6"/>
      <c r="F1" s="6"/>
      <c r="G1" s="6"/>
    </row>
    <row r="2" spans="1:7" x14ac:dyDescent="0.3">
      <c r="A2" s="5" t="s">
        <v>145</v>
      </c>
      <c r="B2" s="5"/>
      <c r="C2" s="5"/>
      <c r="D2" s="5"/>
      <c r="E2" s="5"/>
      <c r="F2" s="5"/>
      <c r="G2" s="5"/>
    </row>
    <row r="4" spans="1:7" ht="30" customHeight="1" x14ac:dyDescent="0.3">
      <c r="A4" s="10" t="s">
        <v>39</v>
      </c>
      <c r="B4" s="10" t="s">
        <v>146</v>
      </c>
      <c r="C4" s="10" t="s">
        <v>147</v>
      </c>
      <c r="D4" s="10" t="s">
        <v>148</v>
      </c>
      <c r="E4" s="10" t="s">
        <v>46</v>
      </c>
      <c r="F4" s="10" t="s">
        <v>149</v>
      </c>
      <c r="G4" s="10" t="s">
        <v>150</v>
      </c>
    </row>
    <row r="5" spans="1:7" x14ac:dyDescent="0.3">
      <c r="A5" s="50" t="s">
        <v>50</v>
      </c>
      <c r="B5" s="50" t="s">
        <v>51</v>
      </c>
      <c r="C5" s="51">
        <f>SUMIF(Invoice_Register!B5:B34,A5,Invoice_Register!G5:G34)</f>
        <v>285000</v>
      </c>
      <c r="D5" s="51">
        <f>SUMIF(Invoice_Register!B5:B34,A5,Invoice_Register!H5:H34)</f>
        <v>285000</v>
      </c>
      <c r="E5" s="52">
        <f t="shared" ref="E5:E34" si="0">C5-D5</f>
        <v>0</v>
      </c>
      <c r="F5" s="53" t="str">
        <f t="shared" ref="F5:F34" si="1">IF(E5=0,"PAID",IF(D5=0,"UNPAID","PARTIAL"))</f>
        <v>PAID</v>
      </c>
      <c r="G5" s="53" t="str">
        <f t="shared" ref="G5:G34" si="2">IF(E5=0,"✓ CLEARED",IF(E5&lt;300000,"⚠ MONITOR","⚠ CRITICAL"))</f>
        <v>✓ CLEARED</v>
      </c>
    </row>
    <row r="6" spans="1:7" x14ac:dyDescent="0.3">
      <c r="A6" s="50" t="s">
        <v>53</v>
      </c>
      <c r="B6" s="50" t="s">
        <v>51</v>
      </c>
      <c r="C6" s="51">
        <f>SUMIF(Invoice_Register!B5:B34,A6,Invoice_Register!G5:G34)</f>
        <v>142500</v>
      </c>
      <c r="D6" s="51">
        <f>SUMIF(Invoice_Register!B5:B34,A6,Invoice_Register!H5:H34)</f>
        <v>142500</v>
      </c>
      <c r="E6" s="52">
        <f t="shared" si="0"/>
        <v>0</v>
      </c>
      <c r="F6" s="53" t="str">
        <f t="shared" si="1"/>
        <v>PAID</v>
      </c>
      <c r="G6" s="53" t="str">
        <f t="shared" si="2"/>
        <v>✓ CLEARED</v>
      </c>
    </row>
    <row r="7" spans="1:7" x14ac:dyDescent="0.3">
      <c r="A7" s="50" t="s">
        <v>55</v>
      </c>
      <c r="B7" s="50" t="s">
        <v>56</v>
      </c>
      <c r="C7" s="51">
        <f>SUMIF(Invoice_Register!B5:B34,A7,Invoice_Register!G5:G34)</f>
        <v>520000</v>
      </c>
      <c r="D7" s="51">
        <f>SUMIF(Invoice_Register!B5:B34,A7,Invoice_Register!H5:H34)</f>
        <v>520000</v>
      </c>
      <c r="E7" s="52">
        <f t="shared" si="0"/>
        <v>0</v>
      </c>
      <c r="F7" s="53" t="str">
        <f t="shared" si="1"/>
        <v>PAID</v>
      </c>
      <c r="G7" s="53" t="str">
        <f t="shared" si="2"/>
        <v>✓ CLEARED</v>
      </c>
    </row>
    <row r="8" spans="1:7" x14ac:dyDescent="0.3">
      <c r="A8" s="50" t="s">
        <v>58</v>
      </c>
      <c r="B8" s="50" t="s">
        <v>59</v>
      </c>
      <c r="C8" s="51">
        <f>SUMIF(Invoice_Register!B5:B34,A8,Invoice_Register!G5:G34)</f>
        <v>198000</v>
      </c>
      <c r="D8" s="51">
        <f>SUMIF(Invoice_Register!B5:B34,A8,Invoice_Register!H5:H34)</f>
        <v>198000</v>
      </c>
      <c r="E8" s="52">
        <f t="shared" si="0"/>
        <v>0</v>
      </c>
      <c r="F8" s="53" t="str">
        <f t="shared" si="1"/>
        <v>PAID</v>
      </c>
      <c r="G8" s="53" t="str">
        <f t="shared" si="2"/>
        <v>✓ CLEARED</v>
      </c>
    </row>
    <row r="9" spans="1:7" x14ac:dyDescent="0.3">
      <c r="A9" s="50" t="s">
        <v>61</v>
      </c>
      <c r="B9" s="50" t="s">
        <v>62</v>
      </c>
      <c r="C9" s="51">
        <f>SUMIF(Invoice_Register!B5:B34,A9,Invoice_Register!G5:G34)</f>
        <v>976000</v>
      </c>
      <c r="D9" s="51">
        <f>SUMIF(Invoice_Register!B5:B34,A9,Invoice_Register!H5:H34)</f>
        <v>0</v>
      </c>
      <c r="E9" s="52">
        <f t="shared" si="0"/>
        <v>976000</v>
      </c>
      <c r="F9" s="53" t="str">
        <f t="shared" si="1"/>
        <v>UNPAID</v>
      </c>
      <c r="G9" s="53" t="str">
        <f t="shared" si="2"/>
        <v>⚠ CRITICAL</v>
      </c>
    </row>
    <row r="10" spans="1:7" x14ac:dyDescent="0.3">
      <c r="A10" s="50" t="s">
        <v>64</v>
      </c>
      <c r="B10" s="50" t="s">
        <v>65</v>
      </c>
      <c r="C10" s="51">
        <f>SUMIF(Invoice_Register!B5:B34,A10,Invoice_Register!G5:G34)</f>
        <v>534000</v>
      </c>
      <c r="D10" s="51">
        <f>SUMIF(Invoice_Register!B5:B34,A10,Invoice_Register!H5:H34)</f>
        <v>0</v>
      </c>
      <c r="E10" s="52">
        <f t="shared" si="0"/>
        <v>534000</v>
      </c>
      <c r="F10" s="53" t="str">
        <f t="shared" si="1"/>
        <v>UNPAID</v>
      </c>
      <c r="G10" s="53" t="str">
        <f t="shared" si="2"/>
        <v>⚠ CRITICAL</v>
      </c>
    </row>
    <row r="11" spans="1:7" x14ac:dyDescent="0.3">
      <c r="A11" s="50" t="s">
        <v>67</v>
      </c>
      <c r="B11" s="50" t="s">
        <v>59</v>
      </c>
      <c r="C11" s="51">
        <f>SUMIF(Invoice_Register!B5:B34,A11,Invoice_Register!G5:G34)</f>
        <v>312000</v>
      </c>
      <c r="D11" s="51">
        <f>SUMIF(Invoice_Register!B5:B34,A11,Invoice_Register!H5:H34)</f>
        <v>312000</v>
      </c>
      <c r="E11" s="52">
        <f t="shared" si="0"/>
        <v>0</v>
      </c>
      <c r="F11" s="53" t="str">
        <f t="shared" si="1"/>
        <v>PAID</v>
      </c>
      <c r="G11" s="53" t="str">
        <f t="shared" si="2"/>
        <v>✓ CLEARED</v>
      </c>
    </row>
    <row r="12" spans="1:7" x14ac:dyDescent="0.3">
      <c r="A12" s="50" t="s">
        <v>69</v>
      </c>
      <c r="B12" s="50" t="s">
        <v>62</v>
      </c>
      <c r="C12" s="51">
        <f>SUMIF(Invoice_Register!B5:B34,A12,Invoice_Register!G5:G34)</f>
        <v>890000</v>
      </c>
      <c r="D12" s="51">
        <f>SUMIF(Invoice_Register!B5:B34,A12,Invoice_Register!H5:H34)</f>
        <v>890000</v>
      </c>
      <c r="E12" s="52">
        <f t="shared" si="0"/>
        <v>0</v>
      </c>
      <c r="F12" s="53" t="str">
        <f t="shared" si="1"/>
        <v>PAID</v>
      </c>
      <c r="G12" s="53" t="str">
        <f t="shared" si="2"/>
        <v>✓ CLEARED</v>
      </c>
    </row>
    <row r="13" spans="1:7" x14ac:dyDescent="0.3">
      <c r="A13" s="50" t="s">
        <v>71</v>
      </c>
      <c r="B13" s="50" t="s">
        <v>59</v>
      </c>
      <c r="C13" s="51">
        <f>SUMIF(Invoice_Register!B5:B34,A13,Invoice_Register!G5:G34)</f>
        <v>245000</v>
      </c>
      <c r="D13" s="51">
        <f>SUMIF(Invoice_Register!B5:B34,A13,Invoice_Register!H5:H34)</f>
        <v>245000</v>
      </c>
      <c r="E13" s="52">
        <f t="shared" si="0"/>
        <v>0</v>
      </c>
      <c r="F13" s="53" t="str">
        <f t="shared" si="1"/>
        <v>PAID</v>
      </c>
      <c r="G13" s="53" t="str">
        <f t="shared" si="2"/>
        <v>✓ CLEARED</v>
      </c>
    </row>
    <row r="14" spans="1:7" x14ac:dyDescent="0.3">
      <c r="A14" s="50" t="s">
        <v>73</v>
      </c>
      <c r="B14" s="50" t="s">
        <v>51</v>
      </c>
      <c r="C14" s="51">
        <f>SUMIF(Invoice_Register!B5:B34,A14,Invoice_Register!G5:G34)</f>
        <v>178000</v>
      </c>
      <c r="D14" s="51">
        <f>SUMIF(Invoice_Register!B5:B34,A14,Invoice_Register!H5:H34)</f>
        <v>178000</v>
      </c>
      <c r="E14" s="52">
        <f t="shared" si="0"/>
        <v>0</v>
      </c>
      <c r="F14" s="53" t="str">
        <f t="shared" si="1"/>
        <v>PAID</v>
      </c>
      <c r="G14" s="53" t="str">
        <f t="shared" si="2"/>
        <v>✓ CLEARED</v>
      </c>
    </row>
    <row r="15" spans="1:7" x14ac:dyDescent="0.3">
      <c r="A15" s="50" t="s">
        <v>75</v>
      </c>
      <c r="B15" s="50" t="s">
        <v>65</v>
      </c>
      <c r="C15" s="51">
        <f>SUMIF(Invoice_Register!B5:B34,A15,Invoice_Register!G5:G34)</f>
        <v>234500</v>
      </c>
      <c r="D15" s="51">
        <f>SUMIF(Invoice_Register!B5:B34,A15,Invoice_Register!H5:H34)</f>
        <v>234500</v>
      </c>
      <c r="E15" s="52">
        <f t="shared" si="0"/>
        <v>0</v>
      </c>
      <c r="F15" s="53" t="str">
        <f t="shared" si="1"/>
        <v>PAID</v>
      </c>
      <c r="G15" s="53" t="str">
        <f t="shared" si="2"/>
        <v>✓ CLEARED</v>
      </c>
    </row>
    <row r="16" spans="1:7" x14ac:dyDescent="0.3">
      <c r="A16" s="50" t="s">
        <v>77</v>
      </c>
      <c r="B16" s="50" t="s">
        <v>65</v>
      </c>
      <c r="C16" s="51">
        <f>SUMIF(Invoice_Register!B5:B34,A16,Invoice_Register!G5:G34)</f>
        <v>412000</v>
      </c>
      <c r="D16" s="51">
        <f>SUMIF(Invoice_Register!B5:B34,A16,Invoice_Register!H5:H34)</f>
        <v>0</v>
      </c>
      <c r="E16" s="52">
        <f t="shared" si="0"/>
        <v>412000</v>
      </c>
      <c r="F16" s="53" t="str">
        <f t="shared" si="1"/>
        <v>UNPAID</v>
      </c>
      <c r="G16" s="53" t="str">
        <f t="shared" si="2"/>
        <v>⚠ CRITICAL</v>
      </c>
    </row>
    <row r="17" spans="1:7" x14ac:dyDescent="0.3">
      <c r="A17" s="50" t="s">
        <v>79</v>
      </c>
      <c r="B17" s="50" t="s">
        <v>56</v>
      </c>
      <c r="C17" s="51">
        <f>SUMIF(Invoice_Register!B5:B34,A17,Invoice_Register!G5:G34)</f>
        <v>678000</v>
      </c>
      <c r="D17" s="51">
        <f>SUMIF(Invoice_Register!B5:B34,A17,Invoice_Register!H5:H34)</f>
        <v>0</v>
      </c>
      <c r="E17" s="52">
        <f t="shared" si="0"/>
        <v>678000</v>
      </c>
      <c r="F17" s="53" t="str">
        <f t="shared" si="1"/>
        <v>UNPAID</v>
      </c>
      <c r="G17" s="53" t="str">
        <f t="shared" si="2"/>
        <v>⚠ CRITICAL</v>
      </c>
    </row>
    <row r="18" spans="1:7" x14ac:dyDescent="0.3">
      <c r="A18" s="50" t="s">
        <v>81</v>
      </c>
      <c r="B18" s="50" t="s">
        <v>51</v>
      </c>
      <c r="C18" s="51">
        <f>SUMIF(Invoice_Register!B5:B34,A18,Invoice_Register!G5:G34)</f>
        <v>425000</v>
      </c>
      <c r="D18" s="51">
        <f>SUMIF(Invoice_Register!B5:B34,A18,Invoice_Register!H5:H34)</f>
        <v>425000</v>
      </c>
      <c r="E18" s="52">
        <f t="shared" si="0"/>
        <v>0</v>
      </c>
      <c r="F18" s="53" t="str">
        <f t="shared" si="1"/>
        <v>PAID</v>
      </c>
      <c r="G18" s="53" t="str">
        <f t="shared" si="2"/>
        <v>✓ CLEARED</v>
      </c>
    </row>
    <row r="19" spans="1:7" x14ac:dyDescent="0.3">
      <c r="A19" s="50" t="s">
        <v>83</v>
      </c>
      <c r="B19" s="50" t="s">
        <v>59</v>
      </c>
      <c r="C19" s="51">
        <f>SUMIF(Invoice_Register!B5:B34,A19,Invoice_Register!G5:G34)</f>
        <v>345000</v>
      </c>
      <c r="D19" s="51">
        <f>SUMIF(Invoice_Register!B5:B34,A19,Invoice_Register!H5:H34)</f>
        <v>0</v>
      </c>
      <c r="E19" s="52">
        <f t="shared" si="0"/>
        <v>345000</v>
      </c>
      <c r="F19" s="53" t="str">
        <f t="shared" si="1"/>
        <v>UNPAID</v>
      </c>
      <c r="G19" s="53" t="str">
        <f t="shared" si="2"/>
        <v>⚠ CRITICAL</v>
      </c>
    </row>
    <row r="20" spans="1:7" x14ac:dyDescent="0.3">
      <c r="A20" s="50" t="s">
        <v>85</v>
      </c>
      <c r="B20" s="50" t="s">
        <v>51</v>
      </c>
      <c r="C20" s="51">
        <f>SUMIF(Invoice_Register!B5:B34,A20,Invoice_Register!G5:G34)</f>
        <v>156000</v>
      </c>
      <c r="D20" s="51">
        <f>SUMIF(Invoice_Register!B5:B34,A20,Invoice_Register!H5:H34)</f>
        <v>156000</v>
      </c>
      <c r="E20" s="52">
        <f t="shared" si="0"/>
        <v>0</v>
      </c>
      <c r="F20" s="53" t="str">
        <f t="shared" si="1"/>
        <v>PAID</v>
      </c>
      <c r="G20" s="53" t="str">
        <f t="shared" si="2"/>
        <v>✓ CLEARED</v>
      </c>
    </row>
    <row r="21" spans="1:7" x14ac:dyDescent="0.3">
      <c r="A21" s="50" t="s">
        <v>87</v>
      </c>
      <c r="B21" s="50" t="s">
        <v>65</v>
      </c>
      <c r="C21" s="51">
        <f>SUMIF(Invoice_Register!B5:B34,A21,Invoice_Register!G5:G34)</f>
        <v>198000</v>
      </c>
      <c r="D21" s="51">
        <f>SUMIF(Invoice_Register!B5:B34,A21,Invoice_Register!H5:H34)</f>
        <v>0</v>
      </c>
      <c r="E21" s="52">
        <f t="shared" si="0"/>
        <v>198000</v>
      </c>
      <c r="F21" s="53" t="str">
        <f t="shared" si="1"/>
        <v>UNPAID</v>
      </c>
      <c r="G21" s="53" t="str">
        <f t="shared" si="2"/>
        <v>⚠ MONITOR</v>
      </c>
    </row>
    <row r="22" spans="1:7" x14ac:dyDescent="0.3">
      <c r="A22" s="50" t="s">
        <v>89</v>
      </c>
      <c r="B22" s="50" t="s">
        <v>56</v>
      </c>
      <c r="C22" s="51">
        <f>SUMIF(Invoice_Register!B5:B34,A22,Invoice_Register!G5:G34)</f>
        <v>567000</v>
      </c>
      <c r="D22" s="51">
        <f>SUMIF(Invoice_Register!B5:B34,A22,Invoice_Register!H5:H34)</f>
        <v>567000</v>
      </c>
      <c r="E22" s="52">
        <f t="shared" si="0"/>
        <v>0</v>
      </c>
      <c r="F22" s="53" t="str">
        <f t="shared" si="1"/>
        <v>PAID</v>
      </c>
      <c r="G22" s="53" t="str">
        <f t="shared" si="2"/>
        <v>✓ CLEARED</v>
      </c>
    </row>
    <row r="23" spans="1:7" x14ac:dyDescent="0.3">
      <c r="A23" s="50" t="s">
        <v>91</v>
      </c>
      <c r="B23" s="50" t="s">
        <v>56</v>
      </c>
      <c r="C23" s="51">
        <f>SUMIF(Invoice_Register!B5:B34,A23,Invoice_Register!G5:G34)</f>
        <v>845000</v>
      </c>
      <c r="D23" s="51">
        <f>SUMIF(Invoice_Register!B5:B34,A23,Invoice_Register!H5:H34)</f>
        <v>0</v>
      </c>
      <c r="E23" s="52">
        <f t="shared" si="0"/>
        <v>845000</v>
      </c>
      <c r="F23" s="53" t="str">
        <f t="shared" si="1"/>
        <v>UNPAID</v>
      </c>
      <c r="G23" s="53" t="str">
        <f t="shared" si="2"/>
        <v>⚠ CRITICAL</v>
      </c>
    </row>
    <row r="24" spans="1:7" x14ac:dyDescent="0.3">
      <c r="A24" s="50" t="s">
        <v>93</v>
      </c>
      <c r="B24" s="50" t="s">
        <v>62</v>
      </c>
      <c r="C24" s="51">
        <f>SUMIF(Invoice_Register!B5:B34,A24,Invoice_Register!G5:G34)</f>
        <v>723000</v>
      </c>
      <c r="D24" s="51">
        <f>SUMIF(Invoice_Register!B5:B34,A24,Invoice_Register!H5:H34)</f>
        <v>0</v>
      </c>
      <c r="E24" s="52">
        <f t="shared" si="0"/>
        <v>723000</v>
      </c>
      <c r="F24" s="53" t="str">
        <f t="shared" si="1"/>
        <v>UNPAID</v>
      </c>
      <c r="G24" s="53" t="str">
        <f t="shared" si="2"/>
        <v>⚠ CRITICAL</v>
      </c>
    </row>
    <row r="25" spans="1:7" x14ac:dyDescent="0.3">
      <c r="A25" s="50" t="s">
        <v>95</v>
      </c>
      <c r="B25" s="50" t="s">
        <v>56</v>
      </c>
      <c r="C25" s="51">
        <f>SUMIF(Invoice_Register!B5:B34,A25,Invoice_Register!G5:G34)</f>
        <v>489000</v>
      </c>
      <c r="D25" s="51">
        <f>SUMIF(Invoice_Register!B5:B34,A25,Invoice_Register!H5:H34)</f>
        <v>0</v>
      </c>
      <c r="E25" s="52">
        <f t="shared" si="0"/>
        <v>489000</v>
      </c>
      <c r="F25" s="53" t="str">
        <f t="shared" si="1"/>
        <v>UNPAID</v>
      </c>
      <c r="G25" s="53" t="str">
        <f t="shared" si="2"/>
        <v>⚠ CRITICAL</v>
      </c>
    </row>
    <row r="26" spans="1:7" x14ac:dyDescent="0.3">
      <c r="A26" s="50" t="s">
        <v>97</v>
      </c>
      <c r="B26" s="50" t="s">
        <v>62</v>
      </c>
      <c r="C26" s="51">
        <f>SUMIF(Invoice_Register!B5:B34,A26,Invoice_Register!G5:G34)</f>
        <v>1234000</v>
      </c>
      <c r="D26" s="51">
        <f>SUMIF(Invoice_Register!B5:B34,A26,Invoice_Register!H5:H34)</f>
        <v>1234000</v>
      </c>
      <c r="E26" s="52">
        <f t="shared" si="0"/>
        <v>0</v>
      </c>
      <c r="F26" s="53" t="str">
        <f t="shared" si="1"/>
        <v>PAID</v>
      </c>
      <c r="G26" s="53" t="str">
        <f t="shared" si="2"/>
        <v>✓ CLEARED</v>
      </c>
    </row>
    <row r="27" spans="1:7" x14ac:dyDescent="0.3">
      <c r="A27" s="50" t="s">
        <v>99</v>
      </c>
      <c r="B27" s="50" t="s">
        <v>62</v>
      </c>
      <c r="C27" s="51">
        <f>SUMIF(Invoice_Register!B5:B34,A27,Invoice_Register!G5:G34)</f>
        <v>678000</v>
      </c>
      <c r="D27" s="51">
        <f>SUMIF(Invoice_Register!B5:B34,A27,Invoice_Register!H5:H34)</f>
        <v>0</v>
      </c>
      <c r="E27" s="52">
        <f t="shared" si="0"/>
        <v>678000</v>
      </c>
      <c r="F27" s="53" t="str">
        <f t="shared" si="1"/>
        <v>UNPAID</v>
      </c>
      <c r="G27" s="53" t="str">
        <f t="shared" si="2"/>
        <v>⚠ CRITICAL</v>
      </c>
    </row>
    <row r="28" spans="1:7" x14ac:dyDescent="0.3">
      <c r="A28" s="50" t="s">
        <v>101</v>
      </c>
      <c r="B28" s="50" t="s">
        <v>59</v>
      </c>
      <c r="C28" s="51">
        <f>SUMIF(Invoice_Register!B5:B34,A28,Invoice_Register!G5:G34)</f>
        <v>357000</v>
      </c>
      <c r="D28" s="51">
        <f>SUMIF(Invoice_Register!B5:B34,A28,Invoice_Register!H5:H34)</f>
        <v>0</v>
      </c>
      <c r="E28" s="52">
        <f t="shared" si="0"/>
        <v>357000</v>
      </c>
      <c r="F28" s="53" t="str">
        <f t="shared" si="1"/>
        <v>UNPAID</v>
      </c>
      <c r="G28" s="53" t="str">
        <f t="shared" si="2"/>
        <v>⚠ CRITICAL</v>
      </c>
    </row>
    <row r="29" spans="1:7" x14ac:dyDescent="0.3">
      <c r="A29" s="50" t="s">
        <v>103</v>
      </c>
      <c r="B29" s="50" t="s">
        <v>56</v>
      </c>
      <c r="C29" s="51">
        <f>SUMIF(Invoice_Register!B5:B34,A29,Invoice_Register!G5:G34)</f>
        <v>415000</v>
      </c>
      <c r="D29" s="51">
        <f>SUMIF(Invoice_Register!B5:B34,A29,Invoice_Register!H5:H34)</f>
        <v>0</v>
      </c>
      <c r="E29" s="52">
        <f t="shared" si="0"/>
        <v>415000</v>
      </c>
      <c r="F29" s="53" t="str">
        <f t="shared" si="1"/>
        <v>UNPAID</v>
      </c>
      <c r="G29" s="53" t="str">
        <f t="shared" si="2"/>
        <v>⚠ CRITICAL</v>
      </c>
    </row>
    <row r="30" spans="1:7" x14ac:dyDescent="0.3">
      <c r="A30" s="50" t="s">
        <v>105</v>
      </c>
      <c r="B30" s="50" t="s">
        <v>65</v>
      </c>
      <c r="C30" s="51">
        <f>SUMIF(Invoice_Register!B5:B34,A30,Invoice_Register!G5:G34)</f>
        <v>234000</v>
      </c>
      <c r="D30" s="51">
        <f>SUMIF(Invoice_Register!B5:B34,A30,Invoice_Register!H5:H34)</f>
        <v>234000</v>
      </c>
      <c r="E30" s="52">
        <f t="shared" si="0"/>
        <v>0</v>
      </c>
      <c r="F30" s="53" t="str">
        <f t="shared" si="1"/>
        <v>PAID</v>
      </c>
      <c r="G30" s="53" t="str">
        <f t="shared" si="2"/>
        <v>✓ CLEARED</v>
      </c>
    </row>
    <row r="31" spans="1:7" x14ac:dyDescent="0.3">
      <c r="A31" s="50" t="s">
        <v>107</v>
      </c>
      <c r="B31" s="50" t="s">
        <v>65</v>
      </c>
      <c r="C31" s="51">
        <f>SUMIF(Invoice_Register!B5:B34,A31,Invoice_Register!G5:G34)</f>
        <v>167000</v>
      </c>
      <c r="D31" s="51">
        <f>SUMIF(Invoice_Register!B5:B34,A31,Invoice_Register!H5:H34)</f>
        <v>0</v>
      </c>
      <c r="E31" s="52">
        <f t="shared" si="0"/>
        <v>167000</v>
      </c>
      <c r="F31" s="53" t="str">
        <f t="shared" si="1"/>
        <v>UNPAID</v>
      </c>
      <c r="G31" s="53" t="str">
        <f t="shared" si="2"/>
        <v>⚠ MONITOR</v>
      </c>
    </row>
    <row r="32" spans="1:7" x14ac:dyDescent="0.3">
      <c r="A32" s="50" t="s">
        <v>109</v>
      </c>
      <c r="B32" s="50" t="s">
        <v>56</v>
      </c>
      <c r="C32" s="51">
        <f>SUMIF(Invoice_Register!B5:B34,A32,Invoice_Register!G5:G34)</f>
        <v>545000</v>
      </c>
      <c r="D32" s="51">
        <f>SUMIF(Invoice_Register!B5:B34,A32,Invoice_Register!H5:H34)</f>
        <v>0</v>
      </c>
      <c r="E32" s="52">
        <f t="shared" si="0"/>
        <v>545000</v>
      </c>
      <c r="F32" s="53" t="str">
        <f t="shared" si="1"/>
        <v>UNPAID</v>
      </c>
      <c r="G32" s="53" t="str">
        <f t="shared" si="2"/>
        <v>⚠ CRITICAL</v>
      </c>
    </row>
    <row r="33" spans="1:7" x14ac:dyDescent="0.3">
      <c r="A33" s="50" t="s">
        <v>111</v>
      </c>
      <c r="B33" s="50" t="s">
        <v>62</v>
      </c>
      <c r="C33" s="51">
        <f>SUMIF(Invoice_Register!B5:B34,A33,Invoice_Register!G5:G34)</f>
        <v>890000</v>
      </c>
      <c r="D33" s="51">
        <f>SUMIF(Invoice_Register!B5:B34,A33,Invoice_Register!H5:H34)</f>
        <v>890000</v>
      </c>
      <c r="E33" s="52">
        <f t="shared" si="0"/>
        <v>0</v>
      </c>
      <c r="F33" s="53" t="str">
        <f t="shared" si="1"/>
        <v>PAID</v>
      </c>
      <c r="G33" s="53" t="str">
        <f t="shared" si="2"/>
        <v>✓ CLEARED</v>
      </c>
    </row>
    <row r="34" spans="1:7" x14ac:dyDescent="0.3">
      <c r="A34" s="50" t="s">
        <v>113</v>
      </c>
      <c r="B34" s="50" t="s">
        <v>59</v>
      </c>
      <c r="C34" s="51">
        <f>SUMIF(Invoice_Register!B5:B34,A34,Invoice_Register!G5:G34)</f>
        <v>300000</v>
      </c>
      <c r="D34" s="51">
        <f>SUMIF(Invoice_Register!B5:B34,A34,Invoice_Register!H5:H34)</f>
        <v>0</v>
      </c>
      <c r="E34" s="52">
        <f t="shared" si="0"/>
        <v>300000</v>
      </c>
      <c r="F34" s="53" t="str">
        <f t="shared" si="1"/>
        <v>UNPAID</v>
      </c>
      <c r="G34" s="53" t="str">
        <f t="shared" si="2"/>
        <v>⚠ CRITICAL</v>
      </c>
    </row>
    <row r="35" spans="1:7" x14ac:dyDescent="0.3">
      <c r="A35" s="47" t="s">
        <v>143</v>
      </c>
      <c r="B35" s="47"/>
      <c r="C35" s="48">
        <f>SUM(C5:C34)</f>
        <v>14173000</v>
      </c>
      <c r="D35" s="48">
        <f>SUM(D5:D34)</f>
        <v>6511000</v>
      </c>
      <c r="E35" s="48">
        <f>SUM(E5:E34)</f>
        <v>7662000</v>
      </c>
      <c r="F35" s="47"/>
      <c r="G35" s="47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/>
  </sheetViews>
  <sheetFormatPr defaultColWidth="8.6640625" defaultRowHeight="14.4" x14ac:dyDescent="0.3"/>
  <cols>
    <col min="1" max="1" width="25" customWidth="1"/>
    <col min="2" max="2" width="14" customWidth="1"/>
    <col min="3" max="5" width="18" customWidth="1"/>
    <col min="6" max="6" width="14" customWidth="1"/>
  </cols>
  <sheetData>
    <row r="1" spans="1:6" ht="25.5" customHeight="1" x14ac:dyDescent="0.3">
      <c r="A1" s="6" t="s">
        <v>151</v>
      </c>
      <c r="B1" s="6"/>
      <c r="C1" s="6"/>
      <c r="D1" s="6"/>
      <c r="E1" s="6"/>
      <c r="F1" s="6"/>
    </row>
    <row r="2" spans="1:6" x14ac:dyDescent="0.3">
      <c r="A2" s="5" t="s">
        <v>152</v>
      </c>
      <c r="B2" s="5"/>
      <c r="C2" s="5"/>
      <c r="D2" s="5"/>
      <c r="E2" s="5"/>
      <c r="F2" s="5"/>
    </row>
    <row r="4" spans="1:6" ht="31.5" customHeight="1" x14ac:dyDescent="0.3">
      <c r="A4" s="10" t="s">
        <v>40</v>
      </c>
      <c r="B4" s="10" t="s">
        <v>153</v>
      </c>
      <c r="C4" s="10" t="s">
        <v>147</v>
      </c>
      <c r="D4" s="10" t="s">
        <v>45</v>
      </c>
      <c r="E4" s="10" t="s">
        <v>46</v>
      </c>
      <c r="F4" s="10" t="s">
        <v>154</v>
      </c>
    </row>
    <row r="5" spans="1:6" x14ac:dyDescent="0.3">
      <c r="A5" s="54" t="s">
        <v>56</v>
      </c>
      <c r="B5" s="55">
        <f>COUNTIF(Invoice_Register!C5:C34,A5)</f>
        <v>7</v>
      </c>
      <c r="C5" s="51">
        <f>SUMIF(Invoice_Register!C5:C34,A5,Invoice_Register!G5:G34)</f>
        <v>4059000</v>
      </c>
      <c r="D5" s="51">
        <f>SUMIF(Invoice_Register!C5:C34,A5,Invoice_Register!H5:H34)</f>
        <v>1087000</v>
      </c>
      <c r="E5" s="52">
        <f>C5-D5</f>
        <v>2972000</v>
      </c>
      <c r="F5" s="56">
        <f t="shared" ref="F5:F10" si="0">IFERROR(E5/C5,0)</f>
        <v>0.73220004927322002</v>
      </c>
    </row>
    <row r="6" spans="1:6" x14ac:dyDescent="0.3">
      <c r="A6" s="54" t="s">
        <v>51</v>
      </c>
      <c r="B6" s="55">
        <f>COUNTIF(Invoice_Register!C5:C34,A6)</f>
        <v>5</v>
      </c>
      <c r="C6" s="51">
        <f>SUMIF(Invoice_Register!C5:C34,A6,Invoice_Register!G5:G34)</f>
        <v>1186500</v>
      </c>
      <c r="D6" s="51">
        <f>SUMIF(Invoice_Register!C5:C34,A6,Invoice_Register!H5:H34)</f>
        <v>1186500</v>
      </c>
      <c r="E6" s="52">
        <f>C6-D6</f>
        <v>0</v>
      </c>
      <c r="F6" s="56">
        <f t="shared" si="0"/>
        <v>0</v>
      </c>
    </row>
    <row r="7" spans="1:6" x14ac:dyDescent="0.3">
      <c r="A7" s="54" t="s">
        <v>62</v>
      </c>
      <c r="B7" s="55">
        <f>COUNTIF(Invoice_Register!C5:C34,A7)</f>
        <v>6</v>
      </c>
      <c r="C7" s="51">
        <f>SUMIF(Invoice_Register!C5:C34,A7,Invoice_Register!G5:G34)</f>
        <v>5391000</v>
      </c>
      <c r="D7" s="51">
        <f>SUMIF(Invoice_Register!C5:C34,A7,Invoice_Register!H5:H34)</f>
        <v>3014000</v>
      </c>
      <c r="E7" s="52">
        <f>C7-D7</f>
        <v>2377000</v>
      </c>
      <c r="F7" s="56">
        <f t="shared" si="0"/>
        <v>0.44092005193841588</v>
      </c>
    </row>
    <row r="8" spans="1:6" x14ac:dyDescent="0.3">
      <c r="A8" s="54" t="s">
        <v>65</v>
      </c>
      <c r="B8" s="55">
        <f>COUNTIF(Invoice_Register!C5:C34,A8)</f>
        <v>6</v>
      </c>
      <c r="C8" s="51">
        <f>SUMIF(Invoice_Register!C5:C34,A8,Invoice_Register!G5:G34)</f>
        <v>1779500</v>
      </c>
      <c r="D8" s="51">
        <f>SUMIF(Invoice_Register!C5:C34,A8,Invoice_Register!H5:H34)</f>
        <v>468500</v>
      </c>
      <c r="E8" s="52">
        <f>C8-D8</f>
        <v>1311000</v>
      </c>
      <c r="F8" s="56">
        <f t="shared" si="0"/>
        <v>0.73672379881989325</v>
      </c>
    </row>
    <row r="9" spans="1:6" x14ac:dyDescent="0.3">
      <c r="A9" s="54" t="s">
        <v>59</v>
      </c>
      <c r="B9" s="55">
        <f>COUNTIF(Invoice_Register!C5:C34,A9)</f>
        <v>6</v>
      </c>
      <c r="C9" s="51">
        <f>SUMIF(Invoice_Register!C5:C34,A9,Invoice_Register!G5:G34)</f>
        <v>1757000</v>
      </c>
      <c r="D9" s="51">
        <f>SUMIF(Invoice_Register!C5:C34,A9,Invoice_Register!H5:H34)</f>
        <v>755000</v>
      </c>
      <c r="E9" s="52">
        <f>C9-D9</f>
        <v>1002000</v>
      </c>
      <c r="F9" s="56">
        <f t="shared" si="0"/>
        <v>0.57029026750142287</v>
      </c>
    </row>
    <row r="10" spans="1:6" x14ac:dyDescent="0.3">
      <c r="A10" s="47" t="s">
        <v>143</v>
      </c>
      <c r="B10" s="47">
        <f>SUM(B5:B9)</f>
        <v>30</v>
      </c>
      <c r="C10" s="48">
        <f>SUM(C5:C9)</f>
        <v>14173000</v>
      </c>
      <c r="D10" s="48">
        <f>SUM(D5:D9)</f>
        <v>6511000</v>
      </c>
      <c r="E10" s="48">
        <f>SUM(E5:E9)</f>
        <v>7662000</v>
      </c>
      <c r="F10" s="49">
        <f t="shared" si="0"/>
        <v>0.54060537641995343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Invoice_Register</vt:lpstr>
      <vt:lpstr>Aging_Dashboard</vt:lpstr>
      <vt:lpstr>Vendor_Summary</vt:lpstr>
      <vt:lpstr>Category_Analysis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SHIVAM GOYAL</cp:lastModifiedBy>
  <cp:revision>0</cp:revision>
  <dcterms:created xsi:type="dcterms:W3CDTF">2026-05-01T03:02:20Z</dcterms:created>
  <dcterms:modified xsi:type="dcterms:W3CDTF">2026-05-01T06:26:24Z</dcterms:modified>
  <dc:language>en-US</dc:language>
</cp:coreProperties>
</file>